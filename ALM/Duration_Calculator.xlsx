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sh Flow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What-If" sheetId="4" state="visible" r:id="rId4"/>
    <sheet xmlns:r="http://schemas.openxmlformats.org/officeDocument/2006/relationships" name="Amort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-MMM-YYYY"/>
    <numFmt numFmtId="166" formatCode="0.00 &quot;Yrs&quot;"/>
    <numFmt numFmtId="167" formatCode="#,##0.0000"/>
    <numFmt numFmtId="168" formatCode="0.0000"/>
    <numFmt numFmtId="169" formatCode="DD-MMM-YY"/>
    <numFmt numFmtId="170" formatCode="0.000000"/>
    <numFmt numFmtId="171" formatCode="0.0000 &quot;Yrs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color rgb="00595959"/>
      <sz val="10"/>
    </font>
    <font>
      <name val="Calibri"/>
      <b val="1"/>
      <color rgb="001F3864"/>
      <sz val="10"/>
    </font>
    <font>
      <name val="Calibri"/>
      <i val="1"/>
      <color rgb="00595959"/>
      <sz val="8"/>
    </font>
    <font>
      <name val="Calibri"/>
      <b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4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0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168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0" fontId="9" fillId="7" borderId="1" applyAlignment="1" pivotButton="0" quotePrefix="0" xfId="0">
      <alignment horizontal="center"/>
    </xf>
    <xf numFmtId="169" fontId="9" fillId="7" borderId="1" applyAlignment="1" pivotButton="0" quotePrefix="0" xfId="0">
      <alignment horizontal="center"/>
    </xf>
    <xf numFmtId="167" fontId="9" fillId="7" borderId="1" applyAlignment="1" pivotButton="0" quotePrefix="0" xfId="0">
      <alignment horizontal="right"/>
    </xf>
    <xf numFmtId="170" fontId="9" fillId="7" borderId="1" applyAlignment="1" pivotButton="0" quotePrefix="0" xfId="0">
      <alignment horizontal="right"/>
    </xf>
    <xf numFmtId="0" fontId="9" fillId="8" borderId="1" applyAlignment="1" pivotButton="0" quotePrefix="0" xfId="0">
      <alignment horizontal="center"/>
    </xf>
    <xf numFmtId="169" fontId="9" fillId="8" borderId="1" applyAlignment="1" pivotButton="0" quotePrefix="0" xfId="0">
      <alignment horizontal="center"/>
    </xf>
    <xf numFmtId="167" fontId="9" fillId="8" borderId="1" applyAlignment="1" pivotButton="0" quotePrefix="0" xfId="0">
      <alignment horizontal="right"/>
    </xf>
    <xf numFmtId="170" fontId="9" fillId="8" borderId="1" applyAlignment="1" pivotButton="0" quotePrefix="0" xfId="0">
      <alignment horizontal="right"/>
    </xf>
    <xf numFmtId="0" fontId="8" fillId="2" borderId="1" applyAlignment="1" pivotButton="0" quotePrefix="0" xfId="0">
      <alignment horizontal="center"/>
    </xf>
    <xf numFmtId="167" fontId="8" fillId="2" borderId="1" applyAlignment="1" pivotButton="0" quotePrefix="0" xfId="0">
      <alignment horizontal="right"/>
    </xf>
    <xf numFmtId="0" fontId="11" fillId="3" borderId="0" applyAlignment="1" pivotButton="0" quotePrefix="0" xfId="0">
      <alignment horizontal="center"/>
    </xf>
    <xf numFmtId="170" fontId="12" fillId="3" borderId="0" applyAlignment="1" pivotButton="0" quotePrefix="0" xfId="0">
      <alignment horizontal="right"/>
    </xf>
    <xf numFmtId="0" fontId="13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1" fontId="14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7" fontId="14" fillId="6" borderId="1" applyAlignment="1" pivotButton="0" quotePrefix="0" xfId="0">
      <alignment horizontal="center" vertical="center"/>
    </xf>
    <xf numFmtId="171" fontId="14" fillId="6" borderId="1" applyAlignment="1" pivotButton="0" quotePrefix="0" xfId="0">
      <alignment horizontal="center" vertical="center"/>
    </xf>
    <xf numFmtId="168" fontId="14" fillId="5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4" fontId="14" fillId="6" borderId="1" applyAlignment="1" pivotButton="0" quotePrefix="0" xfId="0">
      <alignment horizontal="center" vertical="center"/>
    </xf>
    <xf numFmtId="4" fontId="14" fillId="9" borderId="1" applyAlignment="1" pivotButton="0" quotePrefix="0" xfId="0">
      <alignment horizontal="center" vertical="center"/>
    </xf>
    <xf numFmtId="10" fontId="14" fillId="5" borderId="1" applyAlignment="1" pivotButton="0" quotePrefix="0" xfId="0">
      <alignment horizontal="center" vertical="center"/>
    </xf>
    <xf numFmtId="0" fontId="15" fillId="4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10" fontId="16" fillId="4" borderId="1" applyAlignment="1" pivotButton="0" quotePrefix="0" xfId="0">
      <alignment horizontal="center" vertical="center"/>
    </xf>
    <xf numFmtId="168" fontId="9" fillId="8" borderId="1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0" fontId="11" fillId="3" borderId="1" applyAlignment="1" pivotButton="0" quotePrefix="0" xfId="0">
      <alignment horizontal="center" vertical="center"/>
    </xf>
    <xf numFmtId="168" fontId="12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7" fillId="5" borderId="0" applyAlignment="1" pivotButton="0" quotePrefix="0" xfId="0">
      <alignment horizontal="center" wrapText="1"/>
    </xf>
    <xf numFmtId="4" fontId="9" fillId="7" borderId="1" applyAlignment="1" pivotButton="0" quotePrefix="0" xfId="0">
      <alignment horizontal="right"/>
    </xf>
    <xf numFmtId="4" fontId="9" fillId="8" borderId="1" applyAlignment="1" pivotButton="0" quotePrefix="0" xfId="0">
      <alignment horizontal="right"/>
    </xf>
    <xf numFmtId="4" fontId="11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6" customHeight="1">
      <c r="B1" s="1" t="inlineStr">
        <is>
          <t>TERM LOAN / BORROWING — DURATION CALCULATOR</t>
        </is>
      </c>
    </row>
    <row r="2" ht="18" customHeight="1">
      <c r="B2" s="2" t="inlineStr">
        <is>
          <t>Macaulay Duration  |  Modified Duration  |  DV01  |  Convexity  |  Price Sensitivity</t>
        </is>
      </c>
    </row>
    <row r="4" ht="30" customHeight="1">
      <c r="B4" s="3" t="inlineStr">
        <is>
          <t>LOAN PARAMETERS</t>
        </is>
      </c>
    </row>
    <row r="6">
      <c r="B6" s="4" t="inlineStr">
        <is>
          <t>Principal (₹ Cr)</t>
        </is>
      </c>
      <c r="C6" s="5" t="n">
        <v>100</v>
      </c>
      <c r="D6" s="6" t="inlineStr">
        <is>
          <t>Loan notional</t>
        </is>
      </c>
    </row>
    <row r="7">
      <c r="B7" s="4" t="inlineStr">
        <is>
          <t>Coupon Rate (% p.a.)</t>
        </is>
      </c>
      <c r="C7" s="7" t="n">
        <v>9.1</v>
      </c>
      <c r="D7" s="6" t="inlineStr">
        <is>
          <t>Nominal coupon — changes to coupon freq below</t>
        </is>
      </c>
    </row>
    <row r="8">
      <c r="B8" s="4" t="inlineStr">
        <is>
          <t>Frequency (1=Yr, 2=Half, 4=Qtr)</t>
        </is>
      </c>
      <c r="C8" s="8" t="n">
        <v>2</v>
      </c>
      <c r="D8" s="6" t="inlineStr">
        <is>
          <t>Compounding periods per year</t>
        </is>
      </c>
    </row>
    <row r="9">
      <c r="B9" s="4" t="inlineStr">
        <is>
          <t>Yield / YTM (% p.a.)</t>
        </is>
      </c>
      <c r="C9" s="7" t="n">
        <v>8.75</v>
      </c>
      <c r="D9" s="6" t="inlineStr">
        <is>
          <t>Market yield used for PV discounting</t>
        </is>
      </c>
    </row>
    <row r="10">
      <c r="B10" s="4" t="inlineStr">
        <is>
          <t>Tenor (Years)</t>
        </is>
      </c>
      <c r="C10" s="9" t="n">
        <v>7</v>
      </c>
      <c r="D10" s="6" t="inlineStr">
        <is>
          <t>Loan maturity in years — can be fractional</t>
        </is>
      </c>
    </row>
    <row r="11">
      <c r="B11" s="4" t="inlineStr">
        <is>
          <t>Start Date</t>
        </is>
      </c>
      <c r="C11" s="10" t="n">
        <v>46113</v>
      </c>
      <c r="D11" s="6" t="inlineStr">
        <is>
          <t>Loan drawdown / first coupon date</t>
        </is>
      </c>
    </row>
    <row r="12">
      <c r="B12" s="4" t="inlineStr">
        <is>
          <t>Amortisation Type</t>
        </is>
      </c>
      <c r="C12" s="11" t="inlineStr">
        <is>
          <t>Bullet</t>
        </is>
      </c>
      <c r="D12" s="6" t="inlineStr">
        <is>
          <t>Bullet OR amortising (enter exactly: Bullet / Full / Partial)</t>
        </is>
      </c>
    </row>
    <row r="13">
      <c r="B13" s="4" t="inlineStr">
        <is>
          <t>Partial Amort Rate (% principal/yr)</t>
        </is>
      </c>
      <c r="C13" s="7" t="n">
        <v>0</v>
      </c>
      <c r="D13" s="6" t="inlineStr">
        <is>
          <t>Only used if Type = Partial — % of principal repaid per year</t>
        </is>
      </c>
    </row>
    <row r="15" ht="30" customHeight="1">
      <c r="B15" s="3" t="inlineStr">
        <is>
          <t>KEY OUTPUTS (LIVE — see Results Sheet)</t>
        </is>
      </c>
    </row>
    <row r="17">
      <c r="B17" s="4" t="inlineStr">
        <is>
          <t>Macaulay Duration (Years)</t>
        </is>
      </c>
      <c r="C17" s="12">
        <f>'Results'!C8</f>
        <v/>
      </c>
    </row>
    <row r="18">
      <c r="B18" s="4" t="inlineStr">
        <is>
          <t>Modified Duration (Years)</t>
        </is>
      </c>
      <c r="C18" s="12">
        <f>'Results'!C9</f>
        <v/>
      </c>
    </row>
    <row r="19">
      <c r="B19" s="4" t="inlineStr">
        <is>
          <t>DV01 (₹ Cr per bp)</t>
        </is>
      </c>
      <c r="C19" s="13">
        <f>'Results'!C10</f>
        <v/>
      </c>
    </row>
    <row r="20">
      <c r="B20" s="4" t="inlineStr">
        <is>
          <t>Convexity</t>
        </is>
      </c>
      <c r="C20" s="14">
        <f>'Results'!C11</f>
        <v/>
      </c>
    </row>
    <row r="21">
      <c r="B21" s="4" t="inlineStr">
        <is>
          <t>Price per ₹100 face (₹)</t>
        </is>
      </c>
      <c r="C21" s="15">
        <f>'Results'!C12</f>
        <v/>
      </c>
    </row>
    <row r="22">
      <c r="B22" s="4" t="inlineStr">
        <is>
          <t>Modified Duration × Face Value</t>
        </is>
      </c>
      <c r="C22" s="16">
        <f>'Results'!C13</f>
        <v/>
      </c>
    </row>
    <row r="23">
      <c r="B23" s="4" t="inlineStr">
        <is>
          <t>Approx Price Change per 100bp up (₹ Cr)</t>
        </is>
      </c>
      <c r="C23" s="16">
        <f>'Results'!C14</f>
        <v/>
      </c>
    </row>
    <row r="24">
      <c r="B24" s="4" t="inlineStr">
        <is>
          <t>Approx Price Change per 100bp down (₹ Cr)</t>
        </is>
      </c>
      <c r="C24" s="16">
        <f>'Results'!C15</f>
        <v/>
      </c>
    </row>
    <row r="26" ht="28" customHeight="1">
      <c r="B26" s="17" t="inlineStr">
        <is>
          <t>NOTE: Change inputs (yellow cells) — all outputs update automatically. VBA What-If button on 'What-If' sheet runs Monte Carlo yield scenario simulation.</t>
        </is>
      </c>
    </row>
  </sheetData>
  <mergeCells count="21">
    <mergeCell ref="D10:E10"/>
    <mergeCell ref="C22:E22"/>
    <mergeCell ref="B15:E15"/>
    <mergeCell ref="C21:E21"/>
    <mergeCell ref="D6:E6"/>
    <mergeCell ref="B26:E26"/>
    <mergeCell ref="B4:E4"/>
    <mergeCell ref="D11:E11"/>
    <mergeCell ref="D13:E13"/>
    <mergeCell ref="C23:E23"/>
    <mergeCell ref="C17:E17"/>
    <mergeCell ref="D7:E7"/>
    <mergeCell ref="C19:E19"/>
    <mergeCell ref="C18:E18"/>
    <mergeCell ref="B2:E2"/>
    <mergeCell ref="D9:E9"/>
    <mergeCell ref="D12:E12"/>
    <mergeCell ref="C24:E24"/>
    <mergeCell ref="D8:E8"/>
    <mergeCell ref="B1:E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B1" s="18" t="inlineStr">
        <is>
          <t>CASH FLOW SCHEDULE &amp; DURATION CALCULATION</t>
        </is>
      </c>
      <c r="K1" t="n">
        <v>125</v>
      </c>
    </row>
    <row r="2">
      <c r="K2" t="n">
        <v>5</v>
      </c>
    </row>
    <row r="3" ht="22" customHeight="1">
      <c r="B3" s="19" t="inlineStr">
        <is>
          <t>Period</t>
        </is>
      </c>
      <c r="C3" s="19" t="inlineStr">
        <is>
          <t>Date</t>
        </is>
      </c>
      <c r="D3" s="19" t="inlineStr">
        <is>
          <t>Coupon (₹ Cr)</t>
        </is>
      </c>
      <c r="E3" s="19" t="inlineStr">
        <is>
          <t>Principal (₹ Cr)</t>
        </is>
      </c>
      <c r="F3" s="19" t="inlineStr">
        <is>
          <t>Total CF (₹ Cr)</t>
        </is>
      </c>
      <c r="G3" s="19" t="inlineStr">
        <is>
          <t>PV Factor</t>
        </is>
      </c>
      <c r="H3" s="19" t="inlineStr">
        <is>
          <t>PV of CF (₹ Cr)</t>
        </is>
      </c>
      <c r="I3" s="19" t="inlineStr">
        <is>
          <t>Weight × Time</t>
        </is>
      </c>
      <c r="K3" t="n">
        <v>120</v>
      </c>
    </row>
    <row r="4" ht="16" customHeight="1">
      <c r="B4" s="20" t="inlineStr">
        <is>
          <t>← From Inputs sheet:</t>
        </is>
      </c>
      <c r="C4" s="20" t="inlineStr">
        <is>
          <t>Frequency:</t>
        </is>
      </c>
      <c r="D4" s="20">
        <f>Inputs!C8</f>
        <v/>
      </c>
      <c r="E4" s="20" t="inlineStr">
        <is>
          <t>Yield:</t>
        </is>
      </c>
      <c r="F4" s="20">
        <f>Inputs!C9</f>
        <v/>
      </c>
      <c r="G4" s="20" t="inlineStr">
        <is>
          <t>Tenor:</t>
        </is>
      </c>
      <c r="H4" s="20">
        <f>Inputs!C10</f>
        <v/>
      </c>
      <c r="I4" s="21" t="n"/>
    </row>
    <row r="5">
      <c r="B5" s="22" t="n">
        <v>1</v>
      </c>
      <c r="C5" s="23">
        <f>DATE(YEAR(Inputs!C11),MONTH(Inputs!C11)+(1-1)*(12/Inputs!C8),DAY(Inputs!C11))</f>
        <v/>
      </c>
      <c r="D5" s="24">
        <f>IF(1&lt;=Inputs!C10*Inputs!C8,Inputs!C6*Inputs!C7/Inputs!C8,0)</f>
        <v/>
      </c>
      <c r="E5" s="24">
        <f>IF(Inputs!C12="Bullet",IF(1=Inputs!C10*Inputs!C8,IF(Inputs!C12="Bullet",Inputs!C6,0),0),IF(Inputs!C12="Full",IF(1&lt;=Inputs!C10*Inputs!C8,Inputs!C6/(Inputs!C10*Inputs!C8),0),IF(1&lt;=Inputs!C10*Inputs!C8,MAX(Inputs!C6*Inputs!C13/Inputs!C8-SUM($D$5:$D4),0),0)))</f>
        <v/>
      </c>
      <c r="F5" s="24">
        <f>D5+E5</f>
        <v/>
      </c>
      <c r="G5" s="25">
        <f>IFERROR(1/(1+Inputs!C9/Inputs!C8)^1,"")</f>
        <v/>
      </c>
      <c r="H5" s="24">
        <f>F5*G5</f>
        <v/>
      </c>
      <c r="I5" s="24" t="inlineStr"/>
    </row>
    <row r="6">
      <c r="B6" s="26" t="n">
        <v>2</v>
      </c>
      <c r="C6" s="27">
        <f>DATE(YEAR(Inputs!C11),MONTH(Inputs!C11)+(2-1)*(12/Inputs!C8),DAY(Inputs!C11))</f>
        <v/>
      </c>
      <c r="D6" s="28">
        <f>IF(2&lt;=Inputs!C10*Inputs!C8,Inputs!C6*Inputs!C7/Inputs!C8,0)</f>
        <v/>
      </c>
      <c r="E6" s="28">
        <f>IF(Inputs!C12="Bullet",IF(2=Inputs!C10*Inputs!C8,IF(Inputs!C12="Bullet",Inputs!C6,0),0),IF(Inputs!C12="Full",IF(2&lt;=Inputs!C10*Inputs!C8,Inputs!C6/(Inputs!C10*Inputs!C8),0),IF(2&lt;=Inputs!C10*Inputs!C8,MAX(Inputs!C6*Inputs!C13/Inputs!C8-SUM($D$5:$D5),0),0)))</f>
        <v/>
      </c>
      <c r="F6" s="28">
        <f>D6+E6</f>
        <v/>
      </c>
      <c r="G6" s="29">
        <f>IFERROR(1/(1+Inputs!C9/Inputs!C8)^2,"")</f>
        <v/>
      </c>
      <c r="H6" s="28">
        <f>F6*G6</f>
        <v/>
      </c>
      <c r="I6" s="28" t="inlineStr"/>
    </row>
    <row r="7">
      <c r="B7" s="22" t="n">
        <v>3</v>
      </c>
      <c r="C7" s="23">
        <f>DATE(YEAR(Inputs!C11),MONTH(Inputs!C11)+(3-1)*(12/Inputs!C8),DAY(Inputs!C11))</f>
        <v/>
      </c>
      <c r="D7" s="24">
        <f>IF(3&lt;=Inputs!C10*Inputs!C8,Inputs!C6*Inputs!C7/Inputs!C8,0)</f>
        <v/>
      </c>
      <c r="E7" s="24">
        <f>IF(Inputs!C12="Bullet",IF(3=Inputs!C10*Inputs!C8,IF(Inputs!C12="Bullet",Inputs!C6,0),0),IF(Inputs!C12="Full",IF(3&lt;=Inputs!C10*Inputs!C8,Inputs!C6/(Inputs!C10*Inputs!C8),0),IF(3&lt;=Inputs!C10*Inputs!C8,MAX(Inputs!C6*Inputs!C13/Inputs!C8-SUM($D$5:$D6),0),0)))</f>
        <v/>
      </c>
      <c r="F7" s="24">
        <f>D7+E7</f>
        <v/>
      </c>
      <c r="G7" s="25">
        <f>IFERROR(1/(1+Inputs!C9/Inputs!C8)^3,"")</f>
        <v/>
      </c>
      <c r="H7" s="24">
        <f>F7*G7</f>
        <v/>
      </c>
      <c r="I7" s="24" t="inlineStr"/>
    </row>
    <row r="8">
      <c r="B8" s="26" t="n">
        <v>4</v>
      </c>
      <c r="C8" s="27">
        <f>DATE(YEAR(Inputs!C11),MONTH(Inputs!C11)+(4-1)*(12/Inputs!C8),DAY(Inputs!C11))</f>
        <v/>
      </c>
      <c r="D8" s="28">
        <f>IF(4&lt;=Inputs!C10*Inputs!C8,Inputs!C6*Inputs!C7/Inputs!C8,0)</f>
        <v/>
      </c>
      <c r="E8" s="28">
        <f>IF(Inputs!C12="Bullet",IF(4=Inputs!C10*Inputs!C8,IF(Inputs!C12="Bullet",Inputs!C6,0),0),IF(Inputs!C12="Full",IF(4&lt;=Inputs!C10*Inputs!C8,Inputs!C6/(Inputs!C10*Inputs!C8),0),IF(4&lt;=Inputs!C10*Inputs!C8,MAX(Inputs!C6*Inputs!C13/Inputs!C8-SUM($D$5:$D7),0),0)))</f>
        <v/>
      </c>
      <c r="F8" s="28">
        <f>D8+E8</f>
        <v/>
      </c>
      <c r="G8" s="29">
        <f>IFERROR(1/(1+Inputs!C9/Inputs!C8)^4,"")</f>
        <v/>
      </c>
      <c r="H8" s="28">
        <f>F8*G8</f>
        <v/>
      </c>
      <c r="I8" s="28" t="inlineStr"/>
    </row>
    <row r="9">
      <c r="B9" s="22" t="n">
        <v>5</v>
      </c>
      <c r="C9" s="23">
        <f>DATE(YEAR(Inputs!C11),MONTH(Inputs!C11)+(5-1)*(12/Inputs!C8),DAY(Inputs!C11))</f>
        <v/>
      </c>
      <c r="D9" s="24">
        <f>IF(5&lt;=Inputs!C10*Inputs!C8,Inputs!C6*Inputs!C7/Inputs!C8,0)</f>
        <v/>
      </c>
      <c r="E9" s="24">
        <f>IF(Inputs!C12="Bullet",IF(5=Inputs!C10*Inputs!C8,IF(Inputs!C12="Bullet",Inputs!C6,0),0),IF(Inputs!C12="Full",IF(5&lt;=Inputs!C10*Inputs!C8,Inputs!C6/(Inputs!C10*Inputs!C8),0),IF(5&lt;=Inputs!C10*Inputs!C8,MAX(Inputs!C6*Inputs!C13/Inputs!C8-SUM($D$5:$D8),0),0)))</f>
        <v/>
      </c>
      <c r="F9" s="24">
        <f>D9+E9</f>
        <v/>
      </c>
      <c r="G9" s="25">
        <f>IFERROR(1/(1+Inputs!C9/Inputs!C8)^5,"")</f>
        <v/>
      </c>
      <c r="H9" s="24">
        <f>F9*G9</f>
        <v/>
      </c>
      <c r="I9" s="24" t="inlineStr"/>
    </row>
    <row r="10">
      <c r="B10" s="26" t="n">
        <v>6</v>
      </c>
      <c r="C10" s="27">
        <f>DATE(YEAR(Inputs!C11),MONTH(Inputs!C11)+(6-1)*(12/Inputs!C8),DAY(Inputs!C11))</f>
        <v/>
      </c>
      <c r="D10" s="28">
        <f>IF(6&lt;=Inputs!C10*Inputs!C8,Inputs!C6*Inputs!C7/Inputs!C8,0)</f>
        <v/>
      </c>
      <c r="E10" s="28">
        <f>IF(Inputs!C12="Bullet",IF(6=Inputs!C10*Inputs!C8,IF(Inputs!C12="Bullet",Inputs!C6,0),0),IF(Inputs!C12="Full",IF(6&lt;=Inputs!C10*Inputs!C8,Inputs!C6/(Inputs!C10*Inputs!C8),0),IF(6&lt;=Inputs!C10*Inputs!C8,MAX(Inputs!C6*Inputs!C13/Inputs!C8-SUM($D$5:$D9),0),0)))</f>
        <v/>
      </c>
      <c r="F10" s="28">
        <f>D10+E10</f>
        <v/>
      </c>
      <c r="G10" s="29">
        <f>IFERROR(1/(1+Inputs!C9/Inputs!C8)^6,"")</f>
        <v/>
      </c>
      <c r="H10" s="28">
        <f>F10*G10</f>
        <v/>
      </c>
      <c r="I10" s="28" t="inlineStr"/>
    </row>
    <row r="11">
      <c r="B11" s="22" t="n">
        <v>7</v>
      </c>
      <c r="C11" s="23">
        <f>DATE(YEAR(Inputs!C11),MONTH(Inputs!C11)+(7-1)*(12/Inputs!C8),DAY(Inputs!C11))</f>
        <v/>
      </c>
      <c r="D11" s="24">
        <f>IF(7&lt;=Inputs!C10*Inputs!C8,Inputs!C6*Inputs!C7/Inputs!C8,0)</f>
        <v/>
      </c>
      <c r="E11" s="24">
        <f>IF(Inputs!C12="Bullet",IF(7=Inputs!C10*Inputs!C8,IF(Inputs!C12="Bullet",Inputs!C6,0),0),IF(Inputs!C12="Full",IF(7&lt;=Inputs!C10*Inputs!C8,Inputs!C6/(Inputs!C10*Inputs!C8),0),IF(7&lt;=Inputs!C10*Inputs!C8,MAX(Inputs!C6*Inputs!C13/Inputs!C8-SUM($D$5:$D10),0),0)))</f>
        <v/>
      </c>
      <c r="F11" s="24">
        <f>D11+E11</f>
        <v/>
      </c>
      <c r="G11" s="25">
        <f>IFERROR(1/(1+Inputs!C9/Inputs!C8)^7,"")</f>
        <v/>
      </c>
      <c r="H11" s="24">
        <f>F11*G11</f>
        <v/>
      </c>
      <c r="I11" s="24" t="inlineStr"/>
    </row>
    <row r="12">
      <c r="B12" s="26" t="n">
        <v>8</v>
      </c>
      <c r="C12" s="27">
        <f>DATE(YEAR(Inputs!C11),MONTH(Inputs!C11)+(8-1)*(12/Inputs!C8),DAY(Inputs!C11))</f>
        <v/>
      </c>
      <c r="D12" s="28">
        <f>IF(8&lt;=Inputs!C10*Inputs!C8,Inputs!C6*Inputs!C7/Inputs!C8,0)</f>
        <v/>
      </c>
      <c r="E12" s="28">
        <f>IF(Inputs!C12="Bullet",IF(8=Inputs!C10*Inputs!C8,IF(Inputs!C12="Bullet",Inputs!C6,0),0),IF(Inputs!C12="Full",IF(8&lt;=Inputs!C10*Inputs!C8,Inputs!C6/(Inputs!C10*Inputs!C8),0),IF(8&lt;=Inputs!C10*Inputs!C8,MAX(Inputs!C6*Inputs!C13/Inputs!C8-SUM($D$5:$D11),0),0)))</f>
        <v/>
      </c>
      <c r="F12" s="28">
        <f>D12+E12</f>
        <v/>
      </c>
      <c r="G12" s="29">
        <f>IFERROR(1/(1+Inputs!C9/Inputs!C8)^8,"")</f>
        <v/>
      </c>
      <c r="H12" s="28">
        <f>F12*G12</f>
        <v/>
      </c>
      <c r="I12" s="28" t="inlineStr"/>
    </row>
    <row r="13">
      <c r="B13" s="22" t="n">
        <v>9</v>
      </c>
      <c r="C13" s="23">
        <f>DATE(YEAR(Inputs!C11),MONTH(Inputs!C11)+(9-1)*(12/Inputs!C8),DAY(Inputs!C11))</f>
        <v/>
      </c>
      <c r="D13" s="24">
        <f>IF(9&lt;=Inputs!C10*Inputs!C8,Inputs!C6*Inputs!C7/Inputs!C8,0)</f>
        <v/>
      </c>
      <c r="E13" s="24">
        <f>IF(Inputs!C12="Bullet",IF(9=Inputs!C10*Inputs!C8,IF(Inputs!C12="Bullet",Inputs!C6,0),0),IF(Inputs!C12="Full",IF(9&lt;=Inputs!C10*Inputs!C8,Inputs!C6/(Inputs!C10*Inputs!C8),0),IF(9&lt;=Inputs!C10*Inputs!C8,MAX(Inputs!C6*Inputs!C13/Inputs!C8-SUM($D$5:$D12),0),0)))</f>
        <v/>
      </c>
      <c r="F13" s="24">
        <f>D13+E13</f>
        <v/>
      </c>
      <c r="G13" s="25">
        <f>IFERROR(1/(1+Inputs!C9/Inputs!C8)^9,"")</f>
        <v/>
      </c>
      <c r="H13" s="24">
        <f>F13*G13</f>
        <v/>
      </c>
      <c r="I13" s="24" t="inlineStr"/>
    </row>
    <row r="14">
      <c r="B14" s="26" t="n">
        <v>10</v>
      </c>
      <c r="C14" s="27">
        <f>DATE(YEAR(Inputs!C11),MONTH(Inputs!C11)+(10-1)*(12/Inputs!C8),DAY(Inputs!C11))</f>
        <v/>
      </c>
      <c r="D14" s="28">
        <f>IF(10&lt;=Inputs!C10*Inputs!C8,Inputs!C6*Inputs!C7/Inputs!C8,0)</f>
        <v/>
      </c>
      <c r="E14" s="28">
        <f>IF(Inputs!C12="Bullet",IF(10=Inputs!C10*Inputs!C8,IF(Inputs!C12="Bullet",Inputs!C6,0),0),IF(Inputs!C12="Full",IF(10&lt;=Inputs!C10*Inputs!C8,Inputs!C6/(Inputs!C10*Inputs!C8),0),IF(10&lt;=Inputs!C10*Inputs!C8,MAX(Inputs!C6*Inputs!C13/Inputs!C8-SUM($D$5:$D13),0),0)))</f>
        <v/>
      </c>
      <c r="F14" s="28">
        <f>D14+E14</f>
        <v/>
      </c>
      <c r="G14" s="29">
        <f>IFERROR(1/(1+Inputs!C9/Inputs!C8)^10,"")</f>
        <v/>
      </c>
      <c r="H14" s="28">
        <f>F14*G14</f>
        <v/>
      </c>
      <c r="I14" s="28" t="inlineStr"/>
    </row>
    <row r="15">
      <c r="B15" s="22" t="n">
        <v>11</v>
      </c>
      <c r="C15" s="23">
        <f>DATE(YEAR(Inputs!C11),MONTH(Inputs!C11)+(11-1)*(12/Inputs!C8),DAY(Inputs!C11))</f>
        <v/>
      </c>
      <c r="D15" s="24">
        <f>IF(11&lt;=Inputs!C10*Inputs!C8,Inputs!C6*Inputs!C7/Inputs!C8,0)</f>
        <v/>
      </c>
      <c r="E15" s="24">
        <f>IF(Inputs!C12="Bullet",IF(11=Inputs!C10*Inputs!C8,IF(Inputs!C12="Bullet",Inputs!C6,0),0),IF(Inputs!C12="Full",IF(11&lt;=Inputs!C10*Inputs!C8,Inputs!C6/(Inputs!C10*Inputs!C8),0),IF(11&lt;=Inputs!C10*Inputs!C8,MAX(Inputs!C6*Inputs!C13/Inputs!C8-SUM($D$5:$D14),0),0)))</f>
        <v/>
      </c>
      <c r="F15" s="24">
        <f>D15+E15</f>
        <v/>
      </c>
      <c r="G15" s="25">
        <f>IFERROR(1/(1+Inputs!C9/Inputs!C8)^11,"")</f>
        <v/>
      </c>
      <c r="H15" s="24">
        <f>F15*G15</f>
        <v/>
      </c>
      <c r="I15" s="24" t="inlineStr"/>
    </row>
    <row r="16">
      <c r="B16" s="26" t="n">
        <v>12</v>
      </c>
      <c r="C16" s="27">
        <f>DATE(YEAR(Inputs!C11),MONTH(Inputs!C11)+(12-1)*(12/Inputs!C8),DAY(Inputs!C11))</f>
        <v/>
      </c>
      <c r="D16" s="28">
        <f>IF(12&lt;=Inputs!C10*Inputs!C8,Inputs!C6*Inputs!C7/Inputs!C8,0)</f>
        <v/>
      </c>
      <c r="E16" s="28">
        <f>IF(Inputs!C12="Bullet",IF(12=Inputs!C10*Inputs!C8,IF(Inputs!C12="Bullet",Inputs!C6,0),0),IF(Inputs!C12="Full",IF(12&lt;=Inputs!C10*Inputs!C8,Inputs!C6/(Inputs!C10*Inputs!C8),0),IF(12&lt;=Inputs!C10*Inputs!C8,MAX(Inputs!C6*Inputs!C13/Inputs!C8-SUM($D$5:$D15),0),0)))</f>
        <v/>
      </c>
      <c r="F16" s="28">
        <f>D16+E16</f>
        <v/>
      </c>
      <c r="G16" s="29">
        <f>IFERROR(1/(1+Inputs!C9/Inputs!C8)^12,"")</f>
        <v/>
      </c>
      <c r="H16" s="28">
        <f>F16*G16</f>
        <v/>
      </c>
      <c r="I16" s="28" t="inlineStr"/>
    </row>
    <row r="17">
      <c r="B17" s="22" t="n">
        <v>13</v>
      </c>
      <c r="C17" s="23">
        <f>DATE(YEAR(Inputs!C11),MONTH(Inputs!C11)+(13-1)*(12/Inputs!C8),DAY(Inputs!C11))</f>
        <v/>
      </c>
      <c r="D17" s="24">
        <f>IF(13&lt;=Inputs!C10*Inputs!C8,Inputs!C6*Inputs!C7/Inputs!C8,0)</f>
        <v/>
      </c>
      <c r="E17" s="24">
        <f>IF(Inputs!C12="Bullet",IF(13=Inputs!C10*Inputs!C8,IF(Inputs!C12="Bullet",Inputs!C6,0),0),IF(Inputs!C12="Full",IF(13&lt;=Inputs!C10*Inputs!C8,Inputs!C6/(Inputs!C10*Inputs!C8),0),IF(13&lt;=Inputs!C10*Inputs!C8,MAX(Inputs!C6*Inputs!C13/Inputs!C8-SUM($D$5:$D16),0),0)))</f>
        <v/>
      </c>
      <c r="F17" s="24">
        <f>D17+E17</f>
        <v/>
      </c>
      <c r="G17" s="25">
        <f>IFERROR(1/(1+Inputs!C9/Inputs!C8)^13,"")</f>
        <v/>
      </c>
      <c r="H17" s="24">
        <f>F17*G17</f>
        <v/>
      </c>
      <c r="I17" s="24" t="inlineStr"/>
    </row>
    <row r="18">
      <c r="B18" s="26" t="n">
        <v>14</v>
      </c>
      <c r="C18" s="27">
        <f>DATE(YEAR(Inputs!C11),MONTH(Inputs!C11)+(14-1)*(12/Inputs!C8),DAY(Inputs!C11))</f>
        <v/>
      </c>
      <c r="D18" s="28">
        <f>IF(14&lt;=Inputs!C10*Inputs!C8,Inputs!C6*Inputs!C7/Inputs!C8,0)</f>
        <v/>
      </c>
      <c r="E18" s="28">
        <f>IF(Inputs!C12="Bullet",IF(14=Inputs!C10*Inputs!C8,IF(Inputs!C12="Bullet",Inputs!C6,0),0),IF(Inputs!C12="Full",IF(14&lt;=Inputs!C10*Inputs!C8,Inputs!C6/(Inputs!C10*Inputs!C8),0),IF(14&lt;=Inputs!C10*Inputs!C8,MAX(Inputs!C6*Inputs!C13/Inputs!C8-SUM($D$5:$D17),0),0)))</f>
        <v/>
      </c>
      <c r="F18" s="28">
        <f>D18+E18</f>
        <v/>
      </c>
      <c r="G18" s="29">
        <f>IFERROR(1/(1+Inputs!C9/Inputs!C8)^14,"")</f>
        <v/>
      </c>
      <c r="H18" s="28">
        <f>F18*G18</f>
        <v/>
      </c>
      <c r="I18" s="28" t="inlineStr"/>
    </row>
    <row r="19">
      <c r="B19" s="22" t="n">
        <v>15</v>
      </c>
      <c r="C19" s="23">
        <f>DATE(YEAR(Inputs!C11),MONTH(Inputs!C11)+(15-1)*(12/Inputs!C8),DAY(Inputs!C11))</f>
        <v/>
      </c>
      <c r="D19" s="24">
        <f>IF(15&lt;=Inputs!C10*Inputs!C8,Inputs!C6*Inputs!C7/Inputs!C8,0)</f>
        <v/>
      </c>
      <c r="E19" s="24">
        <f>IF(Inputs!C12="Bullet",IF(15=Inputs!C10*Inputs!C8,IF(Inputs!C12="Bullet",Inputs!C6,0),0),IF(Inputs!C12="Full",IF(15&lt;=Inputs!C10*Inputs!C8,Inputs!C6/(Inputs!C10*Inputs!C8),0),IF(15&lt;=Inputs!C10*Inputs!C8,MAX(Inputs!C6*Inputs!C13/Inputs!C8-SUM($D$5:$D18),0),0)))</f>
        <v/>
      </c>
      <c r="F19" s="24">
        <f>D19+E19</f>
        <v/>
      </c>
      <c r="G19" s="25">
        <f>IFERROR(1/(1+Inputs!C9/Inputs!C8)^15,"")</f>
        <v/>
      </c>
      <c r="H19" s="24">
        <f>F19*G19</f>
        <v/>
      </c>
      <c r="I19" s="24" t="inlineStr"/>
    </row>
    <row r="20">
      <c r="B20" s="26" t="n">
        <v>16</v>
      </c>
      <c r="C20" s="27">
        <f>DATE(YEAR(Inputs!C11),MONTH(Inputs!C11)+(16-1)*(12/Inputs!C8),DAY(Inputs!C11))</f>
        <v/>
      </c>
      <c r="D20" s="28">
        <f>IF(16&lt;=Inputs!C10*Inputs!C8,Inputs!C6*Inputs!C7/Inputs!C8,0)</f>
        <v/>
      </c>
      <c r="E20" s="28">
        <f>IF(Inputs!C12="Bullet",IF(16=Inputs!C10*Inputs!C8,IF(Inputs!C12="Bullet",Inputs!C6,0),0),IF(Inputs!C12="Full",IF(16&lt;=Inputs!C10*Inputs!C8,Inputs!C6/(Inputs!C10*Inputs!C8),0),IF(16&lt;=Inputs!C10*Inputs!C8,MAX(Inputs!C6*Inputs!C13/Inputs!C8-SUM($D$5:$D19),0),0)))</f>
        <v/>
      </c>
      <c r="F20" s="28">
        <f>D20+E20</f>
        <v/>
      </c>
      <c r="G20" s="29">
        <f>IFERROR(1/(1+Inputs!C9/Inputs!C8)^16,"")</f>
        <v/>
      </c>
      <c r="H20" s="28">
        <f>F20*G20</f>
        <v/>
      </c>
      <c r="I20" s="28" t="inlineStr"/>
    </row>
    <row r="21">
      <c r="B21" s="22" t="n">
        <v>17</v>
      </c>
      <c r="C21" s="23">
        <f>DATE(YEAR(Inputs!C11),MONTH(Inputs!C11)+(17-1)*(12/Inputs!C8),DAY(Inputs!C11))</f>
        <v/>
      </c>
      <c r="D21" s="24">
        <f>IF(17&lt;=Inputs!C10*Inputs!C8,Inputs!C6*Inputs!C7/Inputs!C8,0)</f>
        <v/>
      </c>
      <c r="E21" s="24">
        <f>IF(Inputs!C12="Bullet",IF(17=Inputs!C10*Inputs!C8,IF(Inputs!C12="Bullet",Inputs!C6,0),0),IF(Inputs!C12="Full",IF(17&lt;=Inputs!C10*Inputs!C8,Inputs!C6/(Inputs!C10*Inputs!C8),0),IF(17&lt;=Inputs!C10*Inputs!C8,MAX(Inputs!C6*Inputs!C13/Inputs!C8-SUM($D$5:$D20),0),0)))</f>
        <v/>
      </c>
      <c r="F21" s="24">
        <f>D21+E21</f>
        <v/>
      </c>
      <c r="G21" s="25">
        <f>IFERROR(1/(1+Inputs!C9/Inputs!C8)^17,"")</f>
        <v/>
      </c>
      <c r="H21" s="24">
        <f>F21*G21</f>
        <v/>
      </c>
      <c r="I21" s="24" t="inlineStr"/>
    </row>
    <row r="22">
      <c r="B22" s="26" t="n">
        <v>18</v>
      </c>
      <c r="C22" s="27">
        <f>DATE(YEAR(Inputs!C11),MONTH(Inputs!C11)+(18-1)*(12/Inputs!C8),DAY(Inputs!C11))</f>
        <v/>
      </c>
      <c r="D22" s="28">
        <f>IF(18&lt;=Inputs!C10*Inputs!C8,Inputs!C6*Inputs!C7/Inputs!C8,0)</f>
        <v/>
      </c>
      <c r="E22" s="28">
        <f>IF(Inputs!C12="Bullet",IF(18=Inputs!C10*Inputs!C8,IF(Inputs!C12="Bullet",Inputs!C6,0),0),IF(Inputs!C12="Full",IF(18&lt;=Inputs!C10*Inputs!C8,Inputs!C6/(Inputs!C10*Inputs!C8),0),IF(18&lt;=Inputs!C10*Inputs!C8,MAX(Inputs!C6*Inputs!C13/Inputs!C8-SUM($D$5:$D21),0),0)))</f>
        <v/>
      </c>
      <c r="F22" s="28">
        <f>D22+E22</f>
        <v/>
      </c>
      <c r="G22" s="29">
        <f>IFERROR(1/(1+Inputs!C9/Inputs!C8)^18,"")</f>
        <v/>
      </c>
      <c r="H22" s="28">
        <f>F22*G22</f>
        <v/>
      </c>
      <c r="I22" s="28" t="inlineStr"/>
    </row>
    <row r="23">
      <c r="B23" s="22" t="n">
        <v>19</v>
      </c>
      <c r="C23" s="23">
        <f>DATE(YEAR(Inputs!C11),MONTH(Inputs!C11)+(19-1)*(12/Inputs!C8),DAY(Inputs!C11))</f>
        <v/>
      </c>
      <c r="D23" s="24">
        <f>IF(19&lt;=Inputs!C10*Inputs!C8,Inputs!C6*Inputs!C7/Inputs!C8,0)</f>
        <v/>
      </c>
      <c r="E23" s="24">
        <f>IF(Inputs!C12="Bullet",IF(19=Inputs!C10*Inputs!C8,IF(Inputs!C12="Bullet",Inputs!C6,0),0),IF(Inputs!C12="Full",IF(19&lt;=Inputs!C10*Inputs!C8,Inputs!C6/(Inputs!C10*Inputs!C8),0),IF(19&lt;=Inputs!C10*Inputs!C8,MAX(Inputs!C6*Inputs!C13/Inputs!C8-SUM($D$5:$D22),0),0)))</f>
        <v/>
      </c>
      <c r="F23" s="24">
        <f>D23+E23</f>
        <v/>
      </c>
      <c r="G23" s="25">
        <f>IFERROR(1/(1+Inputs!C9/Inputs!C8)^19,"")</f>
        <v/>
      </c>
      <c r="H23" s="24">
        <f>F23*G23</f>
        <v/>
      </c>
      <c r="I23" s="24" t="inlineStr"/>
    </row>
    <row r="24">
      <c r="B24" s="26" t="n">
        <v>20</v>
      </c>
      <c r="C24" s="27">
        <f>DATE(YEAR(Inputs!C11),MONTH(Inputs!C11)+(20-1)*(12/Inputs!C8),DAY(Inputs!C11))</f>
        <v/>
      </c>
      <c r="D24" s="28">
        <f>IF(20&lt;=Inputs!C10*Inputs!C8,Inputs!C6*Inputs!C7/Inputs!C8,0)</f>
        <v/>
      </c>
      <c r="E24" s="28">
        <f>IF(Inputs!C12="Bullet",IF(20=Inputs!C10*Inputs!C8,IF(Inputs!C12="Bullet",Inputs!C6,0),0),IF(Inputs!C12="Full",IF(20&lt;=Inputs!C10*Inputs!C8,Inputs!C6/(Inputs!C10*Inputs!C8),0),IF(20&lt;=Inputs!C10*Inputs!C8,MAX(Inputs!C6*Inputs!C13/Inputs!C8-SUM($D$5:$D23),0),0)))</f>
        <v/>
      </c>
      <c r="F24" s="28">
        <f>D24+E24</f>
        <v/>
      </c>
      <c r="G24" s="29">
        <f>IFERROR(1/(1+Inputs!C9/Inputs!C8)^20,"")</f>
        <v/>
      </c>
      <c r="H24" s="28">
        <f>F24*G24</f>
        <v/>
      </c>
      <c r="I24" s="28" t="inlineStr"/>
    </row>
    <row r="25">
      <c r="B25" s="22" t="n">
        <v>21</v>
      </c>
      <c r="C25" s="23">
        <f>DATE(YEAR(Inputs!C11),MONTH(Inputs!C11)+(21-1)*(12/Inputs!C8),DAY(Inputs!C11))</f>
        <v/>
      </c>
      <c r="D25" s="24">
        <f>IF(21&lt;=Inputs!C10*Inputs!C8,Inputs!C6*Inputs!C7/Inputs!C8,0)</f>
        <v/>
      </c>
      <c r="E25" s="24">
        <f>IF(Inputs!C12="Bullet",IF(21=Inputs!C10*Inputs!C8,IF(Inputs!C12="Bullet",Inputs!C6,0),0),IF(Inputs!C12="Full",IF(21&lt;=Inputs!C10*Inputs!C8,Inputs!C6/(Inputs!C10*Inputs!C8),0),IF(21&lt;=Inputs!C10*Inputs!C8,MAX(Inputs!C6*Inputs!C13/Inputs!C8-SUM($D$5:$D24),0),0)))</f>
        <v/>
      </c>
      <c r="F25" s="24">
        <f>D25+E25</f>
        <v/>
      </c>
      <c r="G25" s="25">
        <f>IFERROR(1/(1+Inputs!C9/Inputs!C8)^21,"")</f>
        <v/>
      </c>
      <c r="H25" s="24">
        <f>F25*G25</f>
        <v/>
      </c>
      <c r="I25" s="24" t="inlineStr"/>
    </row>
    <row r="26">
      <c r="B26" s="26" t="n">
        <v>22</v>
      </c>
      <c r="C26" s="27">
        <f>DATE(YEAR(Inputs!C11),MONTH(Inputs!C11)+(22-1)*(12/Inputs!C8),DAY(Inputs!C11))</f>
        <v/>
      </c>
      <c r="D26" s="28">
        <f>IF(22&lt;=Inputs!C10*Inputs!C8,Inputs!C6*Inputs!C7/Inputs!C8,0)</f>
        <v/>
      </c>
      <c r="E26" s="28">
        <f>IF(Inputs!C12="Bullet",IF(22=Inputs!C10*Inputs!C8,IF(Inputs!C12="Bullet",Inputs!C6,0),0),IF(Inputs!C12="Full",IF(22&lt;=Inputs!C10*Inputs!C8,Inputs!C6/(Inputs!C10*Inputs!C8),0),IF(22&lt;=Inputs!C10*Inputs!C8,MAX(Inputs!C6*Inputs!C13/Inputs!C8-SUM($D$5:$D25),0),0)))</f>
        <v/>
      </c>
      <c r="F26" s="28">
        <f>D26+E26</f>
        <v/>
      </c>
      <c r="G26" s="29">
        <f>IFERROR(1/(1+Inputs!C9/Inputs!C8)^22,"")</f>
        <v/>
      </c>
      <c r="H26" s="28">
        <f>F26*G26</f>
        <v/>
      </c>
      <c r="I26" s="28" t="inlineStr"/>
    </row>
    <row r="27">
      <c r="B27" s="22" t="n">
        <v>23</v>
      </c>
      <c r="C27" s="23">
        <f>DATE(YEAR(Inputs!C11),MONTH(Inputs!C11)+(23-1)*(12/Inputs!C8),DAY(Inputs!C11))</f>
        <v/>
      </c>
      <c r="D27" s="24">
        <f>IF(23&lt;=Inputs!C10*Inputs!C8,Inputs!C6*Inputs!C7/Inputs!C8,0)</f>
        <v/>
      </c>
      <c r="E27" s="24">
        <f>IF(Inputs!C12="Bullet",IF(23=Inputs!C10*Inputs!C8,IF(Inputs!C12="Bullet",Inputs!C6,0),0),IF(Inputs!C12="Full",IF(23&lt;=Inputs!C10*Inputs!C8,Inputs!C6/(Inputs!C10*Inputs!C8),0),IF(23&lt;=Inputs!C10*Inputs!C8,MAX(Inputs!C6*Inputs!C13/Inputs!C8-SUM($D$5:$D26),0),0)))</f>
        <v/>
      </c>
      <c r="F27" s="24">
        <f>D27+E27</f>
        <v/>
      </c>
      <c r="G27" s="25">
        <f>IFERROR(1/(1+Inputs!C9/Inputs!C8)^23,"")</f>
        <v/>
      </c>
      <c r="H27" s="24">
        <f>F27*G27</f>
        <v/>
      </c>
      <c r="I27" s="24" t="inlineStr"/>
    </row>
    <row r="28">
      <c r="B28" s="26" t="n">
        <v>24</v>
      </c>
      <c r="C28" s="27">
        <f>DATE(YEAR(Inputs!C11),MONTH(Inputs!C11)+(24-1)*(12/Inputs!C8),DAY(Inputs!C11))</f>
        <v/>
      </c>
      <c r="D28" s="28">
        <f>IF(24&lt;=Inputs!C10*Inputs!C8,Inputs!C6*Inputs!C7/Inputs!C8,0)</f>
        <v/>
      </c>
      <c r="E28" s="28">
        <f>IF(Inputs!C12="Bullet",IF(24=Inputs!C10*Inputs!C8,IF(Inputs!C12="Bullet",Inputs!C6,0),0),IF(Inputs!C12="Full",IF(24&lt;=Inputs!C10*Inputs!C8,Inputs!C6/(Inputs!C10*Inputs!C8),0),IF(24&lt;=Inputs!C10*Inputs!C8,MAX(Inputs!C6*Inputs!C13/Inputs!C8-SUM($D$5:$D27),0),0)))</f>
        <v/>
      </c>
      <c r="F28" s="28">
        <f>D28+E28</f>
        <v/>
      </c>
      <c r="G28" s="29">
        <f>IFERROR(1/(1+Inputs!C9/Inputs!C8)^24,"")</f>
        <v/>
      </c>
      <c r="H28" s="28">
        <f>F28*G28</f>
        <v/>
      </c>
      <c r="I28" s="28" t="inlineStr"/>
    </row>
    <row r="29">
      <c r="B29" s="22" t="n">
        <v>25</v>
      </c>
      <c r="C29" s="23">
        <f>DATE(YEAR(Inputs!C11),MONTH(Inputs!C11)+(25-1)*(12/Inputs!C8),DAY(Inputs!C11))</f>
        <v/>
      </c>
      <c r="D29" s="24">
        <f>IF(25&lt;=Inputs!C10*Inputs!C8,Inputs!C6*Inputs!C7/Inputs!C8,0)</f>
        <v/>
      </c>
      <c r="E29" s="24">
        <f>IF(Inputs!C12="Bullet",IF(25=Inputs!C10*Inputs!C8,IF(Inputs!C12="Bullet",Inputs!C6,0),0),IF(Inputs!C12="Full",IF(25&lt;=Inputs!C10*Inputs!C8,Inputs!C6/(Inputs!C10*Inputs!C8),0),IF(25&lt;=Inputs!C10*Inputs!C8,MAX(Inputs!C6*Inputs!C13/Inputs!C8-SUM($D$5:$D28),0),0)))</f>
        <v/>
      </c>
      <c r="F29" s="24">
        <f>D29+E29</f>
        <v/>
      </c>
      <c r="G29" s="25">
        <f>IFERROR(1/(1+Inputs!C9/Inputs!C8)^25,"")</f>
        <v/>
      </c>
      <c r="H29" s="24">
        <f>F29*G29</f>
        <v/>
      </c>
      <c r="I29" s="24" t="inlineStr"/>
    </row>
    <row r="30">
      <c r="B30" s="26" t="n">
        <v>26</v>
      </c>
      <c r="C30" s="27">
        <f>DATE(YEAR(Inputs!C11),MONTH(Inputs!C11)+(26-1)*(12/Inputs!C8),DAY(Inputs!C11))</f>
        <v/>
      </c>
      <c r="D30" s="28">
        <f>IF(26&lt;=Inputs!C10*Inputs!C8,Inputs!C6*Inputs!C7/Inputs!C8,0)</f>
        <v/>
      </c>
      <c r="E30" s="28">
        <f>IF(Inputs!C12="Bullet",IF(26=Inputs!C10*Inputs!C8,IF(Inputs!C12="Bullet",Inputs!C6,0),0),IF(Inputs!C12="Full",IF(26&lt;=Inputs!C10*Inputs!C8,Inputs!C6/(Inputs!C10*Inputs!C8),0),IF(26&lt;=Inputs!C10*Inputs!C8,MAX(Inputs!C6*Inputs!C13/Inputs!C8-SUM($D$5:$D29),0),0)))</f>
        <v/>
      </c>
      <c r="F30" s="28">
        <f>D30+E30</f>
        <v/>
      </c>
      <c r="G30" s="29">
        <f>IFERROR(1/(1+Inputs!C9/Inputs!C8)^26,"")</f>
        <v/>
      </c>
      <c r="H30" s="28">
        <f>F30*G30</f>
        <v/>
      </c>
      <c r="I30" s="28" t="inlineStr"/>
    </row>
    <row r="31">
      <c r="B31" s="22" t="n">
        <v>27</v>
      </c>
      <c r="C31" s="23">
        <f>DATE(YEAR(Inputs!C11),MONTH(Inputs!C11)+(27-1)*(12/Inputs!C8),DAY(Inputs!C11))</f>
        <v/>
      </c>
      <c r="D31" s="24">
        <f>IF(27&lt;=Inputs!C10*Inputs!C8,Inputs!C6*Inputs!C7/Inputs!C8,0)</f>
        <v/>
      </c>
      <c r="E31" s="24">
        <f>IF(Inputs!C12="Bullet",IF(27=Inputs!C10*Inputs!C8,IF(Inputs!C12="Bullet",Inputs!C6,0),0),IF(Inputs!C12="Full",IF(27&lt;=Inputs!C10*Inputs!C8,Inputs!C6/(Inputs!C10*Inputs!C8),0),IF(27&lt;=Inputs!C10*Inputs!C8,MAX(Inputs!C6*Inputs!C13/Inputs!C8-SUM($D$5:$D30),0),0)))</f>
        <v/>
      </c>
      <c r="F31" s="24">
        <f>D31+E31</f>
        <v/>
      </c>
      <c r="G31" s="25">
        <f>IFERROR(1/(1+Inputs!C9/Inputs!C8)^27,"")</f>
        <v/>
      </c>
      <c r="H31" s="24">
        <f>F31*G31</f>
        <v/>
      </c>
      <c r="I31" s="24" t="inlineStr"/>
    </row>
    <row r="32">
      <c r="B32" s="26" t="n">
        <v>28</v>
      </c>
      <c r="C32" s="27">
        <f>DATE(YEAR(Inputs!C11),MONTH(Inputs!C11)+(28-1)*(12/Inputs!C8),DAY(Inputs!C11))</f>
        <v/>
      </c>
      <c r="D32" s="28">
        <f>IF(28&lt;=Inputs!C10*Inputs!C8,Inputs!C6*Inputs!C7/Inputs!C8,0)</f>
        <v/>
      </c>
      <c r="E32" s="28">
        <f>IF(Inputs!C12="Bullet",IF(28=Inputs!C10*Inputs!C8,IF(Inputs!C12="Bullet",Inputs!C6,0),0),IF(Inputs!C12="Full",IF(28&lt;=Inputs!C10*Inputs!C8,Inputs!C6/(Inputs!C10*Inputs!C8),0),IF(28&lt;=Inputs!C10*Inputs!C8,MAX(Inputs!C6*Inputs!C13/Inputs!C8-SUM($D$5:$D31),0),0)))</f>
        <v/>
      </c>
      <c r="F32" s="28">
        <f>D32+E32</f>
        <v/>
      </c>
      <c r="G32" s="29">
        <f>IFERROR(1/(1+Inputs!C9/Inputs!C8)^28,"")</f>
        <v/>
      </c>
      <c r="H32" s="28">
        <f>F32*G32</f>
        <v/>
      </c>
      <c r="I32" s="28" t="inlineStr"/>
    </row>
    <row r="33">
      <c r="B33" s="22" t="n">
        <v>29</v>
      </c>
      <c r="C33" s="23">
        <f>DATE(YEAR(Inputs!C11),MONTH(Inputs!C11)+(29-1)*(12/Inputs!C8),DAY(Inputs!C11))</f>
        <v/>
      </c>
      <c r="D33" s="24">
        <f>IF(29&lt;=Inputs!C10*Inputs!C8,Inputs!C6*Inputs!C7/Inputs!C8,0)</f>
        <v/>
      </c>
      <c r="E33" s="24">
        <f>IF(Inputs!C12="Bullet",IF(29=Inputs!C10*Inputs!C8,IF(Inputs!C12="Bullet",Inputs!C6,0),0),IF(Inputs!C12="Full",IF(29&lt;=Inputs!C10*Inputs!C8,Inputs!C6/(Inputs!C10*Inputs!C8),0),IF(29&lt;=Inputs!C10*Inputs!C8,MAX(Inputs!C6*Inputs!C13/Inputs!C8-SUM($D$5:$D32),0),0)))</f>
        <v/>
      </c>
      <c r="F33" s="24">
        <f>D33+E33</f>
        <v/>
      </c>
      <c r="G33" s="25">
        <f>IFERROR(1/(1+Inputs!C9/Inputs!C8)^29,"")</f>
        <v/>
      </c>
      <c r="H33" s="24">
        <f>F33*G33</f>
        <v/>
      </c>
      <c r="I33" s="24" t="inlineStr"/>
    </row>
    <row r="34">
      <c r="B34" s="26" t="n">
        <v>30</v>
      </c>
      <c r="C34" s="27">
        <f>DATE(YEAR(Inputs!C11),MONTH(Inputs!C11)+(30-1)*(12/Inputs!C8),DAY(Inputs!C11))</f>
        <v/>
      </c>
      <c r="D34" s="28">
        <f>IF(30&lt;=Inputs!C10*Inputs!C8,Inputs!C6*Inputs!C7/Inputs!C8,0)</f>
        <v/>
      </c>
      <c r="E34" s="28">
        <f>IF(Inputs!C12="Bullet",IF(30=Inputs!C10*Inputs!C8,IF(Inputs!C12="Bullet",Inputs!C6,0),0),IF(Inputs!C12="Full",IF(30&lt;=Inputs!C10*Inputs!C8,Inputs!C6/(Inputs!C10*Inputs!C8),0),IF(30&lt;=Inputs!C10*Inputs!C8,MAX(Inputs!C6*Inputs!C13/Inputs!C8-SUM($D$5:$D33),0),0)))</f>
        <v/>
      </c>
      <c r="F34" s="28">
        <f>D34+E34</f>
        <v/>
      </c>
      <c r="G34" s="29">
        <f>IFERROR(1/(1+Inputs!C9/Inputs!C8)^30,"")</f>
        <v/>
      </c>
      <c r="H34" s="28">
        <f>F34*G34</f>
        <v/>
      </c>
      <c r="I34" s="28" t="inlineStr"/>
    </row>
    <row r="35">
      <c r="B35" s="22" t="n">
        <v>31</v>
      </c>
      <c r="C35" s="23">
        <f>DATE(YEAR(Inputs!C11),MONTH(Inputs!C11)+(31-1)*(12/Inputs!C8),DAY(Inputs!C11))</f>
        <v/>
      </c>
      <c r="D35" s="24">
        <f>IF(31&lt;=Inputs!C10*Inputs!C8,Inputs!C6*Inputs!C7/Inputs!C8,0)</f>
        <v/>
      </c>
      <c r="E35" s="24">
        <f>IF(Inputs!C12="Bullet",IF(31=Inputs!C10*Inputs!C8,IF(Inputs!C12="Bullet",Inputs!C6,0),0),IF(Inputs!C12="Full",IF(31&lt;=Inputs!C10*Inputs!C8,Inputs!C6/(Inputs!C10*Inputs!C8),0),IF(31&lt;=Inputs!C10*Inputs!C8,MAX(Inputs!C6*Inputs!C13/Inputs!C8-SUM($D$5:$D34),0),0)))</f>
        <v/>
      </c>
      <c r="F35" s="24">
        <f>D35+E35</f>
        <v/>
      </c>
      <c r="G35" s="25">
        <f>IFERROR(1/(1+Inputs!C9/Inputs!C8)^31,"")</f>
        <v/>
      </c>
      <c r="H35" s="24">
        <f>F35*G35</f>
        <v/>
      </c>
      <c r="I35" s="24" t="inlineStr"/>
    </row>
    <row r="36">
      <c r="B36" s="26" t="n">
        <v>32</v>
      </c>
      <c r="C36" s="27">
        <f>DATE(YEAR(Inputs!C11),MONTH(Inputs!C11)+(32-1)*(12/Inputs!C8),DAY(Inputs!C11))</f>
        <v/>
      </c>
      <c r="D36" s="28">
        <f>IF(32&lt;=Inputs!C10*Inputs!C8,Inputs!C6*Inputs!C7/Inputs!C8,0)</f>
        <v/>
      </c>
      <c r="E36" s="28">
        <f>IF(Inputs!C12="Bullet",IF(32=Inputs!C10*Inputs!C8,IF(Inputs!C12="Bullet",Inputs!C6,0),0),IF(Inputs!C12="Full",IF(32&lt;=Inputs!C10*Inputs!C8,Inputs!C6/(Inputs!C10*Inputs!C8),0),IF(32&lt;=Inputs!C10*Inputs!C8,MAX(Inputs!C6*Inputs!C13/Inputs!C8-SUM($D$5:$D35),0),0)))</f>
        <v/>
      </c>
      <c r="F36" s="28">
        <f>D36+E36</f>
        <v/>
      </c>
      <c r="G36" s="29">
        <f>IFERROR(1/(1+Inputs!C9/Inputs!C8)^32,"")</f>
        <v/>
      </c>
      <c r="H36" s="28">
        <f>F36*G36</f>
        <v/>
      </c>
      <c r="I36" s="28" t="inlineStr"/>
    </row>
    <row r="37">
      <c r="B37" s="22" t="n">
        <v>33</v>
      </c>
      <c r="C37" s="23">
        <f>DATE(YEAR(Inputs!C11),MONTH(Inputs!C11)+(33-1)*(12/Inputs!C8),DAY(Inputs!C11))</f>
        <v/>
      </c>
      <c r="D37" s="24">
        <f>IF(33&lt;=Inputs!C10*Inputs!C8,Inputs!C6*Inputs!C7/Inputs!C8,0)</f>
        <v/>
      </c>
      <c r="E37" s="24">
        <f>IF(Inputs!C12="Bullet",IF(33=Inputs!C10*Inputs!C8,IF(Inputs!C12="Bullet",Inputs!C6,0),0),IF(Inputs!C12="Full",IF(33&lt;=Inputs!C10*Inputs!C8,Inputs!C6/(Inputs!C10*Inputs!C8),0),IF(33&lt;=Inputs!C10*Inputs!C8,MAX(Inputs!C6*Inputs!C13/Inputs!C8-SUM($D$5:$D36),0),0)))</f>
        <v/>
      </c>
      <c r="F37" s="24">
        <f>D37+E37</f>
        <v/>
      </c>
      <c r="G37" s="25">
        <f>IFERROR(1/(1+Inputs!C9/Inputs!C8)^33,"")</f>
        <v/>
      </c>
      <c r="H37" s="24">
        <f>F37*G37</f>
        <v/>
      </c>
      <c r="I37" s="24" t="inlineStr"/>
    </row>
    <row r="38">
      <c r="B38" s="26" t="n">
        <v>34</v>
      </c>
      <c r="C38" s="27">
        <f>DATE(YEAR(Inputs!C11),MONTH(Inputs!C11)+(34-1)*(12/Inputs!C8),DAY(Inputs!C11))</f>
        <v/>
      </c>
      <c r="D38" s="28">
        <f>IF(34&lt;=Inputs!C10*Inputs!C8,Inputs!C6*Inputs!C7/Inputs!C8,0)</f>
        <v/>
      </c>
      <c r="E38" s="28">
        <f>IF(Inputs!C12="Bullet",IF(34=Inputs!C10*Inputs!C8,IF(Inputs!C12="Bullet",Inputs!C6,0),0),IF(Inputs!C12="Full",IF(34&lt;=Inputs!C10*Inputs!C8,Inputs!C6/(Inputs!C10*Inputs!C8),0),IF(34&lt;=Inputs!C10*Inputs!C8,MAX(Inputs!C6*Inputs!C13/Inputs!C8-SUM($D$5:$D37),0),0)))</f>
        <v/>
      </c>
      <c r="F38" s="28">
        <f>D38+E38</f>
        <v/>
      </c>
      <c r="G38" s="29">
        <f>IFERROR(1/(1+Inputs!C9/Inputs!C8)^34,"")</f>
        <v/>
      </c>
      <c r="H38" s="28">
        <f>F38*G38</f>
        <v/>
      </c>
      <c r="I38" s="28" t="inlineStr"/>
    </row>
    <row r="39">
      <c r="B39" s="22" t="n">
        <v>35</v>
      </c>
      <c r="C39" s="23">
        <f>DATE(YEAR(Inputs!C11),MONTH(Inputs!C11)+(35-1)*(12/Inputs!C8),DAY(Inputs!C11))</f>
        <v/>
      </c>
      <c r="D39" s="24">
        <f>IF(35&lt;=Inputs!C10*Inputs!C8,Inputs!C6*Inputs!C7/Inputs!C8,0)</f>
        <v/>
      </c>
      <c r="E39" s="24">
        <f>IF(Inputs!C12="Bullet",IF(35=Inputs!C10*Inputs!C8,IF(Inputs!C12="Bullet",Inputs!C6,0),0),IF(Inputs!C12="Full",IF(35&lt;=Inputs!C10*Inputs!C8,Inputs!C6/(Inputs!C10*Inputs!C8),0),IF(35&lt;=Inputs!C10*Inputs!C8,MAX(Inputs!C6*Inputs!C13/Inputs!C8-SUM($D$5:$D38),0),0)))</f>
        <v/>
      </c>
      <c r="F39" s="24">
        <f>D39+E39</f>
        <v/>
      </c>
      <c r="G39" s="25">
        <f>IFERROR(1/(1+Inputs!C9/Inputs!C8)^35,"")</f>
        <v/>
      </c>
      <c r="H39" s="24">
        <f>F39*G39</f>
        <v/>
      </c>
      <c r="I39" s="24" t="inlineStr"/>
    </row>
    <row r="40">
      <c r="B40" s="26" t="n">
        <v>36</v>
      </c>
      <c r="C40" s="27">
        <f>DATE(YEAR(Inputs!C11),MONTH(Inputs!C11)+(36-1)*(12/Inputs!C8),DAY(Inputs!C11))</f>
        <v/>
      </c>
      <c r="D40" s="28">
        <f>IF(36&lt;=Inputs!C10*Inputs!C8,Inputs!C6*Inputs!C7/Inputs!C8,0)</f>
        <v/>
      </c>
      <c r="E40" s="28">
        <f>IF(Inputs!C12="Bullet",IF(36=Inputs!C10*Inputs!C8,IF(Inputs!C12="Bullet",Inputs!C6,0),0),IF(Inputs!C12="Full",IF(36&lt;=Inputs!C10*Inputs!C8,Inputs!C6/(Inputs!C10*Inputs!C8),0),IF(36&lt;=Inputs!C10*Inputs!C8,MAX(Inputs!C6*Inputs!C13/Inputs!C8-SUM($D$5:$D39),0),0)))</f>
        <v/>
      </c>
      <c r="F40" s="28">
        <f>D40+E40</f>
        <v/>
      </c>
      <c r="G40" s="29">
        <f>IFERROR(1/(1+Inputs!C9/Inputs!C8)^36,"")</f>
        <v/>
      </c>
      <c r="H40" s="28">
        <f>F40*G40</f>
        <v/>
      </c>
      <c r="I40" s="28" t="inlineStr"/>
    </row>
    <row r="41">
      <c r="B41" s="22" t="n">
        <v>37</v>
      </c>
      <c r="C41" s="23">
        <f>DATE(YEAR(Inputs!C11),MONTH(Inputs!C11)+(37-1)*(12/Inputs!C8),DAY(Inputs!C11))</f>
        <v/>
      </c>
      <c r="D41" s="24">
        <f>IF(37&lt;=Inputs!C10*Inputs!C8,Inputs!C6*Inputs!C7/Inputs!C8,0)</f>
        <v/>
      </c>
      <c r="E41" s="24">
        <f>IF(Inputs!C12="Bullet",IF(37=Inputs!C10*Inputs!C8,IF(Inputs!C12="Bullet",Inputs!C6,0),0),IF(Inputs!C12="Full",IF(37&lt;=Inputs!C10*Inputs!C8,Inputs!C6/(Inputs!C10*Inputs!C8),0),IF(37&lt;=Inputs!C10*Inputs!C8,MAX(Inputs!C6*Inputs!C13/Inputs!C8-SUM($D$5:$D40),0),0)))</f>
        <v/>
      </c>
      <c r="F41" s="24">
        <f>D41+E41</f>
        <v/>
      </c>
      <c r="G41" s="25">
        <f>IFERROR(1/(1+Inputs!C9/Inputs!C8)^37,"")</f>
        <v/>
      </c>
      <c r="H41" s="24">
        <f>F41*G41</f>
        <v/>
      </c>
      <c r="I41" s="24" t="inlineStr"/>
    </row>
    <row r="42">
      <c r="B42" s="26" t="n">
        <v>38</v>
      </c>
      <c r="C42" s="27">
        <f>DATE(YEAR(Inputs!C11),MONTH(Inputs!C11)+(38-1)*(12/Inputs!C8),DAY(Inputs!C11))</f>
        <v/>
      </c>
      <c r="D42" s="28">
        <f>IF(38&lt;=Inputs!C10*Inputs!C8,Inputs!C6*Inputs!C7/Inputs!C8,0)</f>
        <v/>
      </c>
      <c r="E42" s="28">
        <f>IF(Inputs!C12="Bullet",IF(38=Inputs!C10*Inputs!C8,IF(Inputs!C12="Bullet",Inputs!C6,0),0),IF(Inputs!C12="Full",IF(38&lt;=Inputs!C10*Inputs!C8,Inputs!C6/(Inputs!C10*Inputs!C8),0),IF(38&lt;=Inputs!C10*Inputs!C8,MAX(Inputs!C6*Inputs!C13/Inputs!C8-SUM($D$5:$D41),0),0)))</f>
        <v/>
      </c>
      <c r="F42" s="28">
        <f>D42+E42</f>
        <v/>
      </c>
      <c r="G42" s="29">
        <f>IFERROR(1/(1+Inputs!C9/Inputs!C8)^38,"")</f>
        <v/>
      </c>
      <c r="H42" s="28">
        <f>F42*G42</f>
        <v/>
      </c>
      <c r="I42" s="28" t="inlineStr"/>
    </row>
    <row r="43">
      <c r="B43" s="22" t="n">
        <v>39</v>
      </c>
      <c r="C43" s="23">
        <f>DATE(YEAR(Inputs!C11),MONTH(Inputs!C11)+(39-1)*(12/Inputs!C8),DAY(Inputs!C11))</f>
        <v/>
      </c>
      <c r="D43" s="24">
        <f>IF(39&lt;=Inputs!C10*Inputs!C8,Inputs!C6*Inputs!C7/Inputs!C8,0)</f>
        <v/>
      </c>
      <c r="E43" s="24">
        <f>IF(Inputs!C12="Bullet",IF(39=Inputs!C10*Inputs!C8,IF(Inputs!C12="Bullet",Inputs!C6,0),0),IF(Inputs!C12="Full",IF(39&lt;=Inputs!C10*Inputs!C8,Inputs!C6/(Inputs!C10*Inputs!C8),0),IF(39&lt;=Inputs!C10*Inputs!C8,MAX(Inputs!C6*Inputs!C13/Inputs!C8-SUM($D$5:$D42),0),0)))</f>
        <v/>
      </c>
      <c r="F43" s="24">
        <f>D43+E43</f>
        <v/>
      </c>
      <c r="G43" s="25">
        <f>IFERROR(1/(1+Inputs!C9/Inputs!C8)^39,"")</f>
        <v/>
      </c>
      <c r="H43" s="24">
        <f>F43*G43</f>
        <v/>
      </c>
      <c r="I43" s="24" t="inlineStr"/>
    </row>
    <row r="44">
      <c r="B44" s="26" t="n">
        <v>40</v>
      </c>
      <c r="C44" s="27">
        <f>DATE(YEAR(Inputs!C11),MONTH(Inputs!C11)+(40-1)*(12/Inputs!C8),DAY(Inputs!C11))</f>
        <v/>
      </c>
      <c r="D44" s="28">
        <f>IF(40&lt;=Inputs!C10*Inputs!C8,Inputs!C6*Inputs!C7/Inputs!C8,0)</f>
        <v/>
      </c>
      <c r="E44" s="28">
        <f>IF(Inputs!C12="Bullet",IF(40=Inputs!C10*Inputs!C8,IF(Inputs!C12="Bullet",Inputs!C6,0),0),IF(Inputs!C12="Full",IF(40&lt;=Inputs!C10*Inputs!C8,Inputs!C6/(Inputs!C10*Inputs!C8),0),IF(40&lt;=Inputs!C10*Inputs!C8,MAX(Inputs!C6*Inputs!C13/Inputs!C8-SUM($D$5:$D43),0),0)))</f>
        <v/>
      </c>
      <c r="F44" s="28">
        <f>D44+E44</f>
        <v/>
      </c>
      <c r="G44" s="29">
        <f>IFERROR(1/(1+Inputs!C9/Inputs!C8)^40,"")</f>
        <v/>
      </c>
      <c r="H44" s="28">
        <f>F44*G44</f>
        <v/>
      </c>
      <c r="I44" s="28" t="inlineStr"/>
    </row>
    <row r="45">
      <c r="B45" s="22" t="n">
        <v>41</v>
      </c>
      <c r="C45" s="23">
        <f>DATE(YEAR(Inputs!C11),MONTH(Inputs!C11)+(41-1)*(12/Inputs!C8),DAY(Inputs!C11))</f>
        <v/>
      </c>
      <c r="D45" s="24">
        <f>IF(41&lt;=Inputs!C10*Inputs!C8,Inputs!C6*Inputs!C7/Inputs!C8,0)</f>
        <v/>
      </c>
      <c r="E45" s="24">
        <f>IF(Inputs!C12="Bullet",IF(41=Inputs!C10*Inputs!C8,IF(Inputs!C12="Bullet",Inputs!C6,0),0),IF(Inputs!C12="Full",IF(41&lt;=Inputs!C10*Inputs!C8,Inputs!C6/(Inputs!C10*Inputs!C8),0),IF(41&lt;=Inputs!C10*Inputs!C8,MAX(Inputs!C6*Inputs!C13/Inputs!C8-SUM($D$5:$D44),0),0)))</f>
        <v/>
      </c>
      <c r="F45" s="24">
        <f>D45+E45</f>
        <v/>
      </c>
      <c r="G45" s="25">
        <f>IFERROR(1/(1+Inputs!C9/Inputs!C8)^41,"")</f>
        <v/>
      </c>
      <c r="H45" s="24">
        <f>F45*G45</f>
        <v/>
      </c>
      <c r="I45" s="24" t="inlineStr"/>
    </row>
    <row r="46">
      <c r="B46" s="26" t="n">
        <v>42</v>
      </c>
      <c r="C46" s="27">
        <f>DATE(YEAR(Inputs!C11),MONTH(Inputs!C11)+(42-1)*(12/Inputs!C8),DAY(Inputs!C11))</f>
        <v/>
      </c>
      <c r="D46" s="28">
        <f>IF(42&lt;=Inputs!C10*Inputs!C8,Inputs!C6*Inputs!C7/Inputs!C8,0)</f>
        <v/>
      </c>
      <c r="E46" s="28">
        <f>IF(Inputs!C12="Bullet",IF(42=Inputs!C10*Inputs!C8,IF(Inputs!C12="Bullet",Inputs!C6,0),0),IF(Inputs!C12="Full",IF(42&lt;=Inputs!C10*Inputs!C8,Inputs!C6/(Inputs!C10*Inputs!C8),0),IF(42&lt;=Inputs!C10*Inputs!C8,MAX(Inputs!C6*Inputs!C13/Inputs!C8-SUM($D$5:$D45),0),0)))</f>
        <v/>
      </c>
      <c r="F46" s="28">
        <f>D46+E46</f>
        <v/>
      </c>
      <c r="G46" s="29">
        <f>IFERROR(1/(1+Inputs!C9/Inputs!C8)^42,"")</f>
        <v/>
      </c>
      <c r="H46" s="28">
        <f>F46*G46</f>
        <v/>
      </c>
      <c r="I46" s="28" t="inlineStr"/>
    </row>
    <row r="47">
      <c r="B47" s="22" t="n">
        <v>43</v>
      </c>
      <c r="C47" s="23">
        <f>DATE(YEAR(Inputs!C11),MONTH(Inputs!C11)+(43-1)*(12/Inputs!C8),DAY(Inputs!C11))</f>
        <v/>
      </c>
      <c r="D47" s="24">
        <f>IF(43&lt;=Inputs!C10*Inputs!C8,Inputs!C6*Inputs!C7/Inputs!C8,0)</f>
        <v/>
      </c>
      <c r="E47" s="24">
        <f>IF(Inputs!C12="Bullet",IF(43=Inputs!C10*Inputs!C8,IF(Inputs!C12="Bullet",Inputs!C6,0),0),IF(Inputs!C12="Full",IF(43&lt;=Inputs!C10*Inputs!C8,Inputs!C6/(Inputs!C10*Inputs!C8),0),IF(43&lt;=Inputs!C10*Inputs!C8,MAX(Inputs!C6*Inputs!C13/Inputs!C8-SUM($D$5:$D46),0),0)))</f>
        <v/>
      </c>
      <c r="F47" s="24">
        <f>D47+E47</f>
        <v/>
      </c>
      <c r="G47" s="25">
        <f>IFERROR(1/(1+Inputs!C9/Inputs!C8)^43,"")</f>
        <v/>
      </c>
      <c r="H47" s="24">
        <f>F47*G47</f>
        <v/>
      </c>
      <c r="I47" s="24" t="inlineStr"/>
    </row>
    <row r="48">
      <c r="B48" s="26" t="n">
        <v>44</v>
      </c>
      <c r="C48" s="27">
        <f>DATE(YEAR(Inputs!C11),MONTH(Inputs!C11)+(44-1)*(12/Inputs!C8),DAY(Inputs!C11))</f>
        <v/>
      </c>
      <c r="D48" s="28">
        <f>IF(44&lt;=Inputs!C10*Inputs!C8,Inputs!C6*Inputs!C7/Inputs!C8,0)</f>
        <v/>
      </c>
      <c r="E48" s="28">
        <f>IF(Inputs!C12="Bullet",IF(44=Inputs!C10*Inputs!C8,IF(Inputs!C12="Bullet",Inputs!C6,0),0),IF(Inputs!C12="Full",IF(44&lt;=Inputs!C10*Inputs!C8,Inputs!C6/(Inputs!C10*Inputs!C8),0),IF(44&lt;=Inputs!C10*Inputs!C8,MAX(Inputs!C6*Inputs!C13/Inputs!C8-SUM($D$5:$D47),0),0)))</f>
        <v/>
      </c>
      <c r="F48" s="28">
        <f>D48+E48</f>
        <v/>
      </c>
      <c r="G48" s="29">
        <f>IFERROR(1/(1+Inputs!C9/Inputs!C8)^44,"")</f>
        <v/>
      </c>
      <c r="H48" s="28">
        <f>F48*G48</f>
        <v/>
      </c>
      <c r="I48" s="28" t="inlineStr"/>
    </row>
    <row r="49">
      <c r="B49" s="22" t="n">
        <v>45</v>
      </c>
      <c r="C49" s="23">
        <f>DATE(YEAR(Inputs!C11),MONTH(Inputs!C11)+(45-1)*(12/Inputs!C8),DAY(Inputs!C11))</f>
        <v/>
      </c>
      <c r="D49" s="24">
        <f>IF(45&lt;=Inputs!C10*Inputs!C8,Inputs!C6*Inputs!C7/Inputs!C8,0)</f>
        <v/>
      </c>
      <c r="E49" s="24">
        <f>IF(Inputs!C12="Bullet",IF(45=Inputs!C10*Inputs!C8,IF(Inputs!C12="Bullet",Inputs!C6,0),0),IF(Inputs!C12="Full",IF(45&lt;=Inputs!C10*Inputs!C8,Inputs!C6/(Inputs!C10*Inputs!C8),0),IF(45&lt;=Inputs!C10*Inputs!C8,MAX(Inputs!C6*Inputs!C13/Inputs!C8-SUM($D$5:$D48),0),0)))</f>
        <v/>
      </c>
      <c r="F49" s="24">
        <f>D49+E49</f>
        <v/>
      </c>
      <c r="G49" s="25">
        <f>IFERROR(1/(1+Inputs!C9/Inputs!C8)^45,"")</f>
        <v/>
      </c>
      <c r="H49" s="24">
        <f>F49*G49</f>
        <v/>
      </c>
      <c r="I49" s="24" t="inlineStr"/>
    </row>
    <row r="50">
      <c r="B50" s="26" t="n">
        <v>46</v>
      </c>
      <c r="C50" s="27">
        <f>DATE(YEAR(Inputs!C11),MONTH(Inputs!C11)+(46-1)*(12/Inputs!C8),DAY(Inputs!C11))</f>
        <v/>
      </c>
      <c r="D50" s="28">
        <f>IF(46&lt;=Inputs!C10*Inputs!C8,Inputs!C6*Inputs!C7/Inputs!C8,0)</f>
        <v/>
      </c>
      <c r="E50" s="28">
        <f>IF(Inputs!C12="Bullet",IF(46=Inputs!C10*Inputs!C8,IF(Inputs!C12="Bullet",Inputs!C6,0),0),IF(Inputs!C12="Full",IF(46&lt;=Inputs!C10*Inputs!C8,Inputs!C6/(Inputs!C10*Inputs!C8),0),IF(46&lt;=Inputs!C10*Inputs!C8,MAX(Inputs!C6*Inputs!C13/Inputs!C8-SUM($D$5:$D49),0),0)))</f>
        <v/>
      </c>
      <c r="F50" s="28">
        <f>D50+E50</f>
        <v/>
      </c>
      <c r="G50" s="29">
        <f>IFERROR(1/(1+Inputs!C9/Inputs!C8)^46,"")</f>
        <v/>
      </c>
      <c r="H50" s="28">
        <f>F50*G50</f>
        <v/>
      </c>
      <c r="I50" s="28" t="inlineStr"/>
    </row>
    <row r="51">
      <c r="B51" s="22" t="n">
        <v>47</v>
      </c>
      <c r="C51" s="23">
        <f>DATE(YEAR(Inputs!C11),MONTH(Inputs!C11)+(47-1)*(12/Inputs!C8),DAY(Inputs!C11))</f>
        <v/>
      </c>
      <c r="D51" s="24">
        <f>IF(47&lt;=Inputs!C10*Inputs!C8,Inputs!C6*Inputs!C7/Inputs!C8,0)</f>
        <v/>
      </c>
      <c r="E51" s="24">
        <f>IF(Inputs!C12="Bullet",IF(47=Inputs!C10*Inputs!C8,IF(Inputs!C12="Bullet",Inputs!C6,0),0),IF(Inputs!C12="Full",IF(47&lt;=Inputs!C10*Inputs!C8,Inputs!C6/(Inputs!C10*Inputs!C8),0),IF(47&lt;=Inputs!C10*Inputs!C8,MAX(Inputs!C6*Inputs!C13/Inputs!C8-SUM($D$5:$D50),0),0)))</f>
        <v/>
      </c>
      <c r="F51" s="24">
        <f>D51+E51</f>
        <v/>
      </c>
      <c r="G51" s="25">
        <f>IFERROR(1/(1+Inputs!C9/Inputs!C8)^47,"")</f>
        <v/>
      </c>
      <c r="H51" s="24">
        <f>F51*G51</f>
        <v/>
      </c>
      <c r="I51" s="24" t="inlineStr"/>
    </row>
    <row r="52">
      <c r="B52" s="26" t="n">
        <v>48</v>
      </c>
      <c r="C52" s="27">
        <f>DATE(YEAR(Inputs!C11),MONTH(Inputs!C11)+(48-1)*(12/Inputs!C8),DAY(Inputs!C11))</f>
        <v/>
      </c>
      <c r="D52" s="28">
        <f>IF(48&lt;=Inputs!C10*Inputs!C8,Inputs!C6*Inputs!C7/Inputs!C8,0)</f>
        <v/>
      </c>
      <c r="E52" s="28">
        <f>IF(Inputs!C12="Bullet",IF(48=Inputs!C10*Inputs!C8,IF(Inputs!C12="Bullet",Inputs!C6,0),0),IF(Inputs!C12="Full",IF(48&lt;=Inputs!C10*Inputs!C8,Inputs!C6/(Inputs!C10*Inputs!C8),0),IF(48&lt;=Inputs!C10*Inputs!C8,MAX(Inputs!C6*Inputs!C13/Inputs!C8-SUM($D$5:$D51),0),0)))</f>
        <v/>
      </c>
      <c r="F52" s="28">
        <f>D52+E52</f>
        <v/>
      </c>
      <c r="G52" s="29">
        <f>IFERROR(1/(1+Inputs!C9/Inputs!C8)^48,"")</f>
        <v/>
      </c>
      <c r="H52" s="28">
        <f>F52*G52</f>
        <v/>
      </c>
      <c r="I52" s="28" t="inlineStr"/>
    </row>
    <row r="53">
      <c r="B53" s="22" t="n">
        <v>49</v>
      </c>
      <c r="C53" s="23">
        <f>DATE(YEAR(Inputs!C11),MONTH(Inputs!C11)+(49-1)*(12/Inputs!C8),DAY(Inputs!C11))</f>
        <v/>
      </c>
      <c r="D53" s="24">
        <f>IF(49&lt;=Inputs!C10*Inputs!C8,Inputs!C6*Inputs!C7/Inputs!C8,0)</f>
        <v/>
      </c>
      <c r="E53" s="24">
        <f>IF(Inputs!C12="Bullet",IF(49=Inputs!C10*Inputs!C8,IF(Inputs!C12="Bullet",Inputs!C6,0),0),IF(Inputs!C12="Full",IF(49&lt;=Inputs!C10*Inputs!C8,Inputs!C6/(Inputs!C10*Inputs!C8),0),IF(49&lt;=Inputs!C10*Inputs!C8,MAX(Inputs!C6*Inputs!C13/Inputs!C8-SUM($D$5:$D52),0),0)))</f>
        <v/>
      </c>
      <c r="F53" s="24">
        <f>D53+E53</f>
        <v/>
      </c>
      <c r="G53" s="25">
        <f>IFERROR(1/(1+Inputs!C9/Inputs!C8)^49,"")</f>
        <v/>
      </c>
      <c r="H53" s="24">
        <f>F53*G53</f>
        <v/>
      </c>
      <c r="I53" s="24" t="inlineStr"/>
    </row>
    <row r="54">
      <c r="B54" s="26" t="n">
        <v>50</v>
      </c>
      <c r="C54" s="27">
        <f>DATE(YEAR(Inputs!C11),MONTH(Inputs!C11)+(50-1)*(12/Inputs!C8),DAY(Inputs!C11))</f>
        <v/>
      </c>
      <c r="D54" s="28">
        <f>IF(50&lt;=Inputs!C10*Inputs!C8,Inputs!C6*Inputs!C7/Inputs!C8,0)</f>
        <v/>
      </c>
      <c r="E54" s="28">
        <f>IF(Inputs!C12="Bullet",IF(50=Inputs!C10*Inputs!C8,IF(Inputs!C12="Bullet",Inputs!C6,0),0),IF(Inputs!C12="Full",IF(50&lt;=Inputs!C10*Inputs!C8,Inputs!C6/(Inputs!C10*Inputs!C8),0),IF(50&lt;=Inputs!C10*Inputs!C8,MAX(Inputs!C6*Inputs!C13/Inputs!C8-SUM($D$5:$D53),0),0)))</f>
        <v/>
      </c>
      <c r="F54" s="28">
        <f>D54+E54</f>
        <v/>
      </c>
      <c r="G54" s="29">
        <f>IFERROR(1/(1+Inputs!C9/Inputs!C8)^50,"")</f>
        <v/>
      </c>
      <c r="H54" s="28">
        <f>F54*G54</f>
        <v/>
      </c>
      <c r="I54" s="28" t="inlineStr"/>
    </row>
    <row r="55">
      <c r="B55" s="22" t="n">
        <v>51</v>
      </c>
      <c r="C55" s="23">
        <f>DATE(YEAR(Inputs!C11),MONTH(Inputs!C11)+(51-1)*(12/Inputs!C8),DAY(Inputs!C11))</f>
        <v/>
      </c>
      <c r="D55" s="24">
        <f>IF(51&lt;=Inputs!C10*Inputs!C8,Inputs!C6*Inputs!C7/Inputs!C8,0)</f>
        <v/>
      </c>
      <c r="E55" s="24">
        <f>IF(Inputs!C12="Bullet",IF(51=Inputs!C10*Inputs!C8,IF(Inputs!C12="Bullet",Inputs!C6,0),0),IF(Inputs!C12="Full",IF(51&lt;=Inputs!C10*Inputs!C8,Inputs!C6/(Inputs!C10*Inputs!C8),0),IF(51&lt;=Inputs!C10*Inputs!C8,MAX(Inputs!C6*Inputs!C13/Inputs!C8-SUM($D$5:$D54),0),0)))</f>
        <v/>
      </c>
      <c r="F55" s="24">
        <f>D55+E55</f>
        <v/>
      </c>
      <c r="G55" s="25">
        <f>IFERROR(1/(1+Inputs!C9/Inputs!C8)^51,"")</f>
        <v/>
      </c>
      <c r="H55" s="24">
        <f>F55*G55</f>
        <v/>
      </c>
      <c r="I55" s="24" t="inlineStr"/>
    </row>
    <row r="56">
      <c r="B56" s="26" t="n">
        <v>52</v>
      </c>
      <c r="C56" s="27">
        <f>DATE(YEAR(Inputs!C11),MONTH(Inputs!C11)+(52-1)*(12/Inputs!C8),DAY(Inputs!C11))</f>
        <v/>
      </c>
      <c r="D56" s="28">
        <f>IF(52&lt;=Inputs!C10*Inputs!C8,Inputs!C6*Inputs!C7/Inputs!C8,0)</f>
        <v/>
      </c>
      <c r="E56" s="28">
        <f>IF(Inputs!C12="Bullet",IF(52=Inputs!C10*Inputs!C8,IF(Inputs!C12="Bullet",Inputs!C6,0),0),IF(Inputs!C12="Full",IF(52&lt;=Inputs!C10*Inputs!C8,Inputs!C6/(Inputs!C10*Inputs!C8),0),IF(52&lt;=Inputs!C10*Inputs!C8,MAX(Inputs!C6*Inputs!C13/Inputs!C8-SUM($D$5:$D55),0),0)))</f>
        <v/>
      </c>
      <c r="F56" s="28">
        <f>D56+E56</f>
        <v/>
      </c>
      <c r="G56" s="29">
        <f>IFERROR(1/(1+Inputs!C9/Inputs!C8)^52,"")</f>
        <v/>
      </c>
      <c r="H56" s="28">
        <f>F56*G56</f>
        <v/>
      </c>
      <c r="I56" s="28" t="inlineStr"/>
    </row>
    <row r="57">
      <c r="B57" s="22" t="n">
        <v>53</v>
      </c>
      <c r="C57" s="23">
        <f>DATE(YEAR(Inputs!C11),MONTH(Inputs!C11)+(53-1)*(12/Inputs!C8),DAY(Inputs!C11))</f>
        <v/>
      </c>
      <c r="D57" s="24">
        <f>IF(53&lt;=Inputs!C10*Inputs!C8,Inputs!C6*Inputs!C7/Inputs!C8,0)</f>
        <v/>
      </c>
      <c r="E57" s="24">
        <f>IF(Inputs!C12="Bullet",IF(53=Inputs!C10*Inputs!C8,IF(Inputs!C12="Bullet",Inputs!C6,0),0),IF(Inputs!C12="Full",IF(53&lt;=Inputs!C10*Inputs!C8,Inputs!C6/(Inputs!C10*Inputs!C8),0),IF(53&lt;=Inputs!C10*Inputs!C8,MAX(Inputs!C6*Inputs!C13/Inputs!C8-SUM($D$5:$D56),0),0)))</f>
        <v/>
      </c>
      <c r="F57" s="24">
        <f>D57+E57</f>
        <v/>
      </c>
      <c r="G57" s="25">
        <f>IFERROR(1/(1+Inputs!C9/Inputs!C8)^53,"")</f>
        <v/>
      </c>
      <c r="H57" s="24">
        <f>F57*G57</f>
        <v/>
      </c>
      <c r="I57" s="24" t="inlineStr"/>
    </row>
    <row r="58">
      <c r="B58" s="26" t="n">
        <v>54</v>
      </c>
      <c r="C58" s="27">
        <f>DATE(YEAR(Inputs!C11),MONTH(Inputs!C11)+(54-1)*(12/Inputs!C8),DAY(Inputs!C11))</f>
        <v/>
      </c>
      <c r="D58" s="28">
        <f>IF(54&lt;=Inputs!C10*Inputs!C8,Inputs!C6*Inputs!C7/Inputs!C8,0)</f>
        <v/>
      </c>
      <c r="E58" s="28">
        <f>IF(Inputs!C12="Bullet",IF(54=Inputs!C10*Inputs!C8,IF(Inputs!C12="Bullet",Inputs!C6,0),0),IF(Inputs!C12="Full",IF(54&lt;=Inputs!C10*Inputs!C8,Inputs!C6/(Inputs!C10*Inputs!C8),0),IF(54&lt;=Inputs!C10*Inputs!C8,MAX(Inputs!C6*Inputs!C13/Inputs!C8-SUM($D$5:$D57),0),0)))</f>
        <v/>
      </c>
      <c r="F58" s="28">
        <f>D58+E58</f>
        <v/>
      </c>
      <c r="G58" s="29">
        <f>IFERROR(1/(1+Inputs!C9/Inputs!C8)^54,"")</f>
        <v/>
      </c>
      <c r="H58" s="28">
        <f>F58*G58</f>
        <v/>
      </c>
      <c r="I58" s="28" t="inlineStr"/>
    </row>
    <row r="59">
      <c r="B59" s="22" t="n">
        <v>55</v>
      </c>
      <c r="C59" s="23">
        <f>DATE(YEAR(Inputs!C11),MONTH(Inputs!C11)+(55-1)*(12/Inputs!C8),DAY(Inputs!C11))</f>
        <v/>
      </c>
      <c r="D59" s="24">
        <f>IF(55&lt;=Inputs!C10*Inputs!C8,Inputs!C6*Inputs!C7/Inputs!C8,0)</f>
        <v/>
      </c>
      <c r="E59" s="24">
        <f>IF(Inputs!C12="Bullet",IF(55=Inputs!C10*Inputs!C8,IF(Inputs!C12="Bullet",Inputs!C6,0),0),IF(Inputs!C12="Full",IF(55&lt;=Inputs!C10*Inputs!C8,Inputs!C6/(Inputs!C10*Inputs!C8),0),IF(55&lt;=Inputs!C10*Inputs!C8,MAX(Inputs!C6*Inputs!C13/Inputs!C8-SUM($D$5:$D58),0),0)))</f>
        <v/>
      </c>
      <c r="F59" s="24">
        <f>D59+E59</f>
        <v/>
      </c>
      <c r="G59" s="25">
        <f>IFERROR(1/(1+Inputs!C9/Inputs!C8)^55,"")</f>
        <v/>
      </c>
      <c r="H59" s="24">
        <f>F59*G59</f>
        <v/>
      </c>
      <c r="I59" s="24" t="inlineStr"/>
    </row>
    <row r="60">
      <c r="B60" s="26" t="n">
        <v>56</v>
      </c>
      <c r="C60" s="27">
        <f>DATE(YEAR(Inputs!C11),MONTH(Inputs!C11)+(56-1)*(12/Inputs!C8),DAY(Inputs!C11))</f>
        <v/>
      </c>
      <c r="D60" s="28">
        <f>IF(56&lt;=Inputs!C10*Inputs!C8,Inputs!C6*Inputs!C7/Inputs!C8,0)</f>
        <v/>
      </c>
      <c r="E60" s="28">
        <f>IF(Inputs!C12="Bullet",IF(56=Inputs!C10*Inputs!C8,IF(Inputs!C12="Bullet",Inputs!C6,0),0),IF(Inputs!C12="Full",IF(56&lt;=Inputs!C10*Inputs!C8,Inputs!C6/(Inputs!C10*Inputs!C8),0),IF(56&lt;=Inputs!C10*Inputs!C8,MAX(Inputs!C6*Inputs!C13/Inputs!C8-SUM($D$5:$D59),0),0)))</f>
        <v/>
      </c>
      <c r="F60" s="28">
        <f>D60+E60</f>
        <v/>
      </c>
      <c r="G60" s="29">
        <f>IFERROR(1/(1+Inputs!C9/Inputs!C8)^56,"")</f>
        <v/>
      </c>
      <c r="H60" s="28">
        <f>F60*G60</f>
        <v/>
      </c>
      <c r="I60" s="28" t="inlineStr"/>
    </row>
    <row r="61">
      <c r="B61" s="22" t="n">
        <v>57</v>
      </c>
      <c r="C61" s="23">
        <f>DATE(YEAR(Inputs!C11),MONTH(Inputs!C11)+(57-1)*(12/Inputs!C8),DAY(Inputs!C11))</f>
        <v/>
      </c>
      <c r="D61" s="24">
        <f>IF(57&lt;=Inputs!C10*Inputs!C8,Inputs!C6*Inputs!C7/Inputs!C8,0)</f>
        <v/>
      </c>
      <c r="E61" s="24">
        <f>IF(Inputs!C12="Bullet",IF(57=Inputs!C10*Inputs!C8,IF(Inputs!C12="Bullet",Inputs!C6,0),0),IF(Inputs!C12="Full",IF(57&lt;=Inputs!C10*Inputs!C8,Inputs!C6/(Inputs!C10*Inputs!C8),0),IF(57&lt;=Inputs!C10*Inputs!C8,MAX(Inputs!C6*Inputs!C13/Inputs!C8-SUM($D$5:$D60),0),0)))</f>
        <v/>
      </c>
      <c r="F61" s="24">
        <f>D61+E61</f>
        <v/>
      </c>
      <c r="G61" s="25">
        <f>IFERROR(1/(1+Inputs!C9/Inputs!C8)^57,"")</f>
        <v/>
      </c>
      <c r="H61" s="24">
        <f>F61*G61</f>
        <v/>
      </c>
      <c r="I61" s="24" t="inlineStr"/>
    </row>
    <row r="62">
      <c r="B62" s="26" t="n">
        <v>58</v>
      </c>
      <c r="C62" s="27">
        <f>DATE(YEAR(Inputs!C11),MONTH(Inputs!C11)+(58-1)*(12/Inputs!C8),DAY(Inputs!C11))</f>
        <v/>
      </c>
      <c r="D62" s="28">
        <f>IF(58&lt;=Inputs!C10*Inputs!C8,Inputs!C6*Inputs!C7/Inputs!C8,0)</f>
        <v/>
      </c>
      <c r="E62" s="28">
        <f>IF(Inputs!C12="Bullet",IF(58=Inputs!C10*Inputs!C8,IF(Inputs!C12="Bullet",Inputs!C6,0),0),IF(Inputs!C12="Full",IF(58&lt;=Inputs!C10*Inputs!C8,Inputs!C6/(Inputs!C10*Inputs!C8),0),IF(58&lt;=Inputs!C10*Inputs!C8,MAX(Inputs!C6*Inputs!C13/Inputs!C8-SUM($D$5:$D61),0),0)))</f>
        <v/>
      </c>
      <c r="F62" s="28">
        <f>D62+E62</f>
        <v/>
      </c>
      <c r="G62" s="29">
        <f>IFERROR(1/(1+Inputs!C9/Inputs!C8)^58,"")</f>
        <v/>
      </c>
      <c r="H62" s="28">
        <f>F62*G62</f>
        <v/>
      </c>
      <c r="I62" s="28" t="inlineStr"/>
    </row>
    <row r="63">
      <c r="B63" s="22" t="n">
        <v>59</v>
      </c>
      <c r="C63" s="23">
        <f>DATE(YEAR(Inputs!C11),MONTH(Inputs!C11)+(59-1)*(12/Inputs!C8),DAY(Inputs!C11))</f>
        <v/>
      </c>
      <c r="D63" s="24">
        <f>IF(59&lt;=Inputs!C10*Inputs!C8,Inputs!C6*Inputs!C7/Inputs!C8,0)</f>
        <v/>
      </c>
      <c r="E63" s="24">
        <f>IF(Inputs!C12="Bullet",IF(59=Inputs!C10*Inputs!C8,IF(Inputs!C12="Bullet",Inputs!C6,0),0),IF(Inputs!C12="Full",IF(59&lt;=Inputs!C10*Inputs!C8,Inputs!C6/(Inputs!C10*Inputs!C8),0),IF(59&lt;=Inputs!C10*Inputs!C8,MAX(Inputs!C6*Inputs!C13/Inputs!C8-SUM($D$5:$D62),0),0)))</f>
        <v/>
      </c>
      <c r="F63" s="24">
        <f>D63+E63</f>
        <v/>
      </c>
      <c r="G63" s="25">
        <f>IFERROR(1/(1+Inputs!C9/Inputs!C8)^59,"")</f>
        <v/>
      </c>
      <c r="H63" s="24">
        <f>F63*G63</f>
        <v/>
      </c>
      <c r="I63" s="24" t="inlineStr"/>
    </row>
    <row r="64">
      <c r="B64" s="26" t="n">
        <v>60</v>
      </c>
      <c r="C64" s="27">
        <f>DATE(YEAR(Inputs!C11),MONTH(Inputs!C11)+(60-1)*(12/Inputs!C8),DAY(Inputs!C11))</f>
        <v/>
      </c>
      <c r="D64" s="28">
        <f>IF(60&lt;=Inputs!C10*Inputs!C8,Inputs!C6*Inputs!C7/Inputs!C8,0)</f>
        <v/>
      </c>
      <c r="E64" s="28">
        <f>IF(Inputs!C12="Bullet",IF(60=Inputs!C10*Inputs!C8,IF(Inputs!C12="Bullet",Inputs!C6,0),0),IF(Inputs!C12="Full",IF(60&lt;=Inputs!C10*Inputs!C8,Inputs!C6/(Inputs!C10*Inputs!C8),0),IF(60&lt;=Inputs!C10*Inputs!C8,MAX(Inputs!C6*Inputs!C13/Inputs!C8-SUM($D$5:$D63),0),0)))</f>
        <v/>
      </c>
      <c r="F64" s="28">
        <f>D64+E64</f>
        <v/>
      </c>
      <c r="G64" s="29">
        <f>IFERROR(1/(1+Inputs!C9/Inputs!C8)^60,"")</f>
        <v/>
      </c>
      <c r="H64" s="28">
        <f>F64*G64</f>
        <v/>
      </c>
      <c r="I64" s="28" t="inlineStr"/>
    </row>
    <row r="65">
      <c r="B65" s="22" t="n">
        <v>61</v>
      </c>
      <c r="C65" s="23">
        <f>DATE(YEAR(Inputs!C11),MONTH(Inputs!C11)+(61-1)*(12/Inputs!C8),DAY(Inputs!C11))</f>
        <v/>
      </c>
      <c r="D65" s="24">
        <f>IF(61&lt;=Inputs!C10*Inputs!C8,Inputs!C6*Inputs!C7/Inputs!C8,0)</f>
        <v/>
      </c>
      <c r="E65" s="24">
        <f>IF(Inputs!C12="Bullet",IF(61=Inputs!C10*Inputs!C8,IF(Inputs!C12="Bullet",Inputs!C6,0),0),IF(Inputs!C12="Full",IF(61&lt;=Inputs!C10*Inputs!C8,Inputs!C6/(Inputs!C10*Inputs!C8),0),IF(61&lt;=Inputs!C10*Inputs!C8,MAX(Inputs!C6*Inputs!C13/Inputs!C8-SUM($D$5:$D64),0),0)))</f>
        <v/>
      </c>
      <c r="F65" s="24">
        <f>D65+E65</f>
        <v/>
      </c>
      <c r="G65" s="25">
        <f>IFERROR(1/(1+Inputs!C9/Inputs!C8)^61,"")</f>
        <v/>
      </c>
      <c r="H65" s="24">
        <f>F65*G65</f>
        <v/>
      </c>
      <c r="I65" s="24" t="inlineStr"/>
    </row>
    <row r="66">
      <c r="B66" s="26" t="n">
        <v>62</v>
      </c>
      <c r="C66" s="27">
        <f>DATE(YEAR(Inputs!C11),MONTH(Inputs!C11)+(62-1)*(12/Inputs!C8),DAY(Inputs!C11))</f>
        <v/>
      </c>
      <c r="D66" s="28">
        <f>IF(62&lt;=Inputs!C10*Inputs!C8,Inputs!C6*Inputs!C7/Inputs!C8,0)</f>
        <v/>
      </c>
      <c r="E66" s="28">
        <f>IF(Inputs!C12="Bullet",IF(62=Inputs!C10*Inputs!C8,IF(Inputs!C12="Bullet",Inputs!C6,0),0),IF(Inputs!C12="Full",IF(62&lt;=Inputs!C10*Inputs!C8,Inputs!C6/(Inputs!C10*Inputs!C8),0),IF(62&lt;=Inputs!C10*Inputs!C8,MAX(Inputs!C6*Inputs!C13/Inputs!C8-SUM($D$5:$D65),0),0)))</f>
        <v/>
      </c>
      <c r="F66" s="28">
        <f>D66+E66</f>
        <v/>
      </c>
      <c r="G66" s="29">
        <f>IFERROR(1/(1+Inputs!C9/Inputs!C8)^62,"")</f>
        <v/>
      </c>
      <c r="H66" s="28">
        <f>F66*G66</f>
        <v/>
      </c>
      <c r="I66" s="28" t="inlineStr"/>
    </row>
    <row r="67">
      <c r="B67" s="22" t="n">
        <v>63</v>
      </c>
      <c r="C67" s="23">
        <f>DATE(YEAR(Inputs!C11),MONTH(Inputs!C11)+(63-1)*(12/Inputs!C8),DAY(Inputs!C11))</f>
        <v/>
      </c>
      <c r="D67" s="24">
        <f>IF(63&lt;=Inputs!C10*Inputs!C8,Inputs!C6*Inputs!C7/Inputs!C8,0)</f>
        <v/>
      </c>
      <c r="E67" s="24">
        <f>IF(Inputs!C12="Bullet",IF(63=Inputs!C10*Inputs!C8,IF(Inputs!C12="Bullet",Inputs!C6,0),0),IF(Inputs!C12="Full",IF(63&lt;=Inputs!C10*Inputs!C8,Inputs!C6/(Inputs!C10*Inputs!C8),0),IF(63&lt;=Inputs!C10*Inputs!C8,MAX(Inputs!C6*Inputs!C13/Inputs!C8-SUM($D$5:$D66),0),0)))</f>
        <v/>
      </c>
      <c r="F67" s="24">
        <f>D67+E67</f>
        <v/>
      </c>
      <c r="G67" s="25">
        <f>IFERROR(1/(1+Inputs!C9/Inputs!C8)^63,"")</f>
        <v/>
      </c>
      <c r="H67" s="24">
        <f>F67*G67</f>
        <v/>
      </c>
      <c r="I67" s="24" t="inlineStr"/>
    </row>
    <row r="68">
      <c r="B68" s="26" t="n">
        <v>64</v>
      </c>
      <c r="C68" s="27">
        <f>DATE(YEAR(Inputs!C11),MONTH(Inputs!C11)+(64-1)*(12/Inputs!C8),DAY(Inputs!C11))</f>
        <v/>
      </c>
      <c r="D68" s="28">
        <f>IF(64&lt;=Inputs!C10*Inputs!C8,Inputs!C6*Inputs!C7/Inputs!C8,0)</f>
        <v/>
      </c>
      <c r="E68" s="28">
        <f>IF(Inputs!C12="Bullet",IF(64=Inputs!C10*Inputs!C8,IF(Inputs!C12="Bullet",Inputs!C6,0),0),IF(Inputs!C12="Full",IF(64&lt;=Inputs!C10*Inputs!C8,Inputs!C6/(Inputs!C10*Inputs!C8),0),IF(64&lt;=Inputs!C10*Inputs!C8,MAX(Inputs!C6*Inputs!C13/Inputs!C8-SUM($D$5:$D67),0),0)))</f>
        <v/>
      </c>
      <c r="F68" s="28">
        <f>D68+E68</f>
        <v/>
      </c>
      <c r="G68" s="29">
        <f>IFERROR(1/(1+Inputs!C9/Inputs!C8)^64,"")</f>
        <v/>
      </c>
      <c r="H68" s="28">
        <f>F68*G68</f>
        <v/>
      </c>
      <c r="I68" s="28" t="inlineStr"/>
    </row>
    <row r="69">
      <c r="B69" s="22" t="n">
        <v>65</v>
      </c>
      <c r="C69" s="23">
        <f>DATE(YEAR(Inputs!C11),MONTH(Inputs!C11)+(65-1)*(12/Inputs!C8),DAY(Inputs!C11))</f>
        <v/>
      </c>
      <c r="D69" s="24">
        <f>IF(65&lt;=Inputs!C10*Inputs!C8,Inputs!C6*Inputs!C7/Inputs!C8,0)</f>
        <v/>
      </c>
      <c r="E69" s="24">
        <f>IF(Inputs!C12="Bullet",IF(65=Inputs!C10*Inputs!C8,IF(Inputs!C12="Bullet",Inputs!C6,0),0),IF(Inputs!C12="Full",IF(65&lt;=Inputs!C10*Inputs!C8,Inputs!C6/(Inputs!C10*Inputs!C8),0),IF(65&lt;=Inputs!C10*Inputs!C8,MAX(Inputs!C6*Inputs!C13/Inputs!C8-SUM($D$5:$D68),0),0)))</f>
        <v/>
      </c>
      <c r="F69" s="24">
        <f>D69+E69</f>
        <v/>
      </c>
      <c r="G69" s="25">
        <f>IFERROR(1/(1+Inputs!C9/Inputs!C8)^65,"")</f>
        <v/>
      </c>
      <c r="H69" s="24">
        <f>F69*G69</f>
        <v/>
      </c>
      <c r="I69" s="24" t="inlineStr"/>
    </row>
    <row r="70">
      <c r="B70" s="26" t="n">
        <v>66</v>
      </c>
      <c r="C70" s="27">
        <f>DATE(YEAR(Inputs!C11),MONTH(Inputs!C11)+(66-1)*(12/Inputs!C8),DAY(Inputs!C11))</f>
        <v/>
      </c>
      <c r="D70" s="28">
        <f>IF(66&lt;=Inputs!C10*Inputs!C8,Inputs!C6*Inputs!C7/Inputs!C8,0)</f>
        <v/>
      </c>
      <c r="E70" s="28">
        <f>IF(Inputs!C12="Bullet",IF(66=Inputs!C10*Inputs!C8,IF(Inputs!C12="Bullet",Inputs!C6,0),0),IF(Inputs!C12="Full",IF(66&lt;=Inputs!C10*Inputs!C8,Inputs!C6/(Inputs!C10*Inputs!C8),0),IF(66&lt;=Inputs!C10*Inputs!C8,MAX(Inputs!C6*Inputs!C13/Inputs!C8-SUM($D$5:$D69),0),0)))</f>
        <v/>
      </c>
      <c r="F70" s="28">
        <f>D70+E70</f>
        <v/>
      </c>
      <c r="G70" s="29">
        <f>IFERROR(1/(1+Inputs!C9/Inputs!C8)^66,"")</f>
        <v/>
      </c>
      <c r="H70" s="28">
        <f>F70*G70</f>
        <v/>
      </c>
      <c r="I70" s="28" t="inlineStr"/>
    </row>
    <row r="71">
      <c r="B71" s="22" t="n">
        <v>67</v>
      </c>
      <c r="C71" s="23">
        <f>DATE(YEAR(Inputs!C11),MONTH(Inputs!C11)+(67-1)*(12/Inputs!C8),DAY(Inputs!C11))</f>
        <v/>
      </c>
      <c r="D71" s="24">
        <f>IF(67&lt;=Inputs!C10*Inputs!C8,Inputs!C6*Inputs!C7/Inputs!C8,0)</f>
        <v/>
      </c>
      <c r="E71" s="24">
        <f>IF(Inputs!C12="Bullet",IF(67=Inputs!C10*Inputs!C8,IF(Inputs!C12="Bullet",Inputs!C6,0),0),IF(Inputs!C12="Full",IF(67&lt;=Inputs!C10*Inputs!C8,Inputs!C6/(Inputs!C10*Inputs!C8),0),IF(67&lt;=Inputs!C10*Inputs!C8,MAX(Inputs!C6*Inputs!C13/Inputs!C8-SUM($D$5:$D70),0),0)))</f>
        <v/>
      </c>
      <c r="F71" s="24">
        <f>D71+E71</f>
        <v/>
      </c>
      <c r="G71" s="25">
        <f>IFERROR(1/(1+Inputs!C9/Inputs!C8)^67,"")</f>
        <v/>
      </c>
      <c r="H71" s="24">
        <f>F71*G71</f>
        <v/>
      </c>
      <c r="I71" s="24" t="inlineStr"/>
    </row>
    <row r="72">
      <c r="B72" s="26" t="n">
        <v>68</v>
      </c>
      <c r="C72" s="27">
        <f>DATE(YEAR(Inputs!C11),MONTH(Inputs!C11)+(68-1)*(12/Inputs!C8),DAY(Inputs!C11))</f>
        <v/>
      </c>
      <c r="D72" s="28">
        <f>IF(68&lt;=Inputs!C10*Inputs!C8,Inputs!C6*Inputs!C7/Inputs!C8,0)</f>
        <v/>
      </c>
      <c r="E72" s="28">
        <f>IF(Inputs!C12="Bullet",IF(68=Inputs!C10*Inputs!C8,IF(Inputs!C12="Bullet",Inputs!C6,0),0),IF(Inputs!C12="Full",IF(68&lt;=Inputs!C10*Inputs!C8,Inputs!C6/(Inputs!C10*Inputs!C8),0),IF(68&lt;=Inputs!C10*Inputs!C8,MAX(Inputs!C6*Inputs!C13/Inputs!C8-SUM($D$5:$D71),0),0)))</f>
        <v/>
      </c>
      <c r="F72" s="28">
        <f>D72+E72</f>
        <v/>
      </c>
      <c r="G72" s="29">
        <f>IFERROR(1/(1+Inputs!C9/Inputs!C8)^68,"")</f>
        <v/>
      </c>
      <c r="H72" s="28">
        <f>F72*G72</f>
        <v/>
      </c>
      <c r="I72" s="28" t="inlineStr"/>
    </row>
    <row r="73">
      <c r="B73" s="22" t="n">
        <v>69</v>
      </c>
      <c r="C73" s="23">
        <f>DATE(YEAR(Inputs!C11),MONTH(Inputs!C11)+(69-1)*(12/Inputs!C8),DAY(Inputs!C11))</f>
        <v/>
      </c>
      <c r="D73" s="24">
        <f>IF(69&lt;=Inputs!C10*Inputs!C8,Inputs!C6*Inputs!C7/Inputs!C8,0)</f>
        <v/>
      </c>
      <c r="E73" s="24">
        <f>IF(Inputs!C12="Bullet",IF(69=Inputs!C10*Inputs!C8,IF(Inputs!C12="Bullet",Inputs!C6,0),0),IF(Inputs!C12="Full",IF(69&lt;=Inputs!C10*Inputs!C8,Inputs!C6/(Inputs!C10*Inputs!C8),0),IF(69&lt;=Inputs!C10*Inputs!C8,MAX(Inputs!C6*Inputs!C13/Inputs!C8-SUM($D$5:$D72),0),0)))</f>
        <v/>
      </c>
      <c r="F73" s="24">
        <f>D73+E73</f>
        <v/>
      </c>
      <c r="G73" s="25">
        <f>IFERROR(1/(1+Inputs!C9/Inputs!C8)^69,"")</f>
        <v/>
      </c>
      <c r="H73" s="24">
        <f>F73*G73</f>
        <v/>
      </c>
      <c r="I73" s="24" t="inlineStr"/>
    </row>
    <row r="74">
      <c r="B74" s="26" t="n">
        <v>70</v>
      </c>
      <c r="C74" s="27">
        <f>DATE(YEAR(Inputs!C11),MONTH(Inputs!C11)+(70-1)*(12/Inputs!C8),DAY(Inputs!C11))</f>
        <v/>
      </c>
      <c r="D74" s="28">
        <f>IF(70&lt;=Inputs!C10*Inputs!C8,Inputs!C6*Inputs!C7/Inputs!C8,0)</f>
        <v/>
      </c>
      <c r="E74" s="28">
        <f>IF(Inputs!C12="Bullet",IF(70=Inputs!C10*Inputs!C8,IF(Inputs!C12="Bullet",Inputs!C6,0),0),IF(Inputs!C12="Full",IF(70&lt;=Inputs!C10*Inputs!C8,Inputs!C6/(Inputs!C10*Inputs!C8),0),IF(70&lt;=Inputs!C10*Inputs!C8,MAX(Inputs!C6*Inputs!C13/Inputs!C8-SUM($D$5:$D73),0),0)))</f>
        <v/>
      </c>
      <c r="F74" s="28">
        <f>D74+E74</f>
        <v/>
      </c>
      <c r="G74" s="29">
        <f>IFERROR(1/(1+Inputs!C9/Inputs!C8)^70,"")</f>
        <v/>
      </c>
      <c r="H74" s="28">
        <f>F74*G74</f>
        <v/>
      </c>
      <c r="I74" s="28" t="inlineStr"/>
    </row>
    <row r="75">
      <c r="B75" s="22" t="n">
        <v>71</v>
      </c>
      <c r="C75" s="23">
        <f>DATE(YEAR(Inputs!C11),MONTH(Inputs!C11)+(71-1)*(12/Inputs!C8),DAY(Inputs!C11))</f>
        <v/>
      </c>
      <c r="D75" s="24">
        <f>IF(71&lt;=Inputs!C10*Inputs!C8,Inputs!C6*Inputs!C7/Inputs!C8,0)</f>
        <v/>
      </c>
      <c r="E75" s="24">
        <f>IF(Inputs!C12="Bullet",IF(71=Inputs!C10*Inputs!C8,IF(Inputs!C12="Bullet",Inputs!C6,0),0),IF(Inputs!C12="Full",IF(71&lt;=Inputs!C10*Inputs!C8,Inputs!C6/(Inputs!C10*Inputs!C8),0),IF(71&lt;=Inputs!C10*Inputs!C8,MAX(Inputs!C6*Inputs!C13/Inputs!C8-SUM($D$5:$D74),0),0)))</f>
        <v/>
      </c>
      <c r="F75" s="24">
        <f>D75+E75</f>
        <v/>
      </c>
      <c r="G75" s="25">
        <f>IFERROR(1/(1+Inputs!C9/Inputs!C8)^71,"")</f>
        <v/>
      </c>
      <c r="H75" s="24">
        <f>F75*G75</f>
        <v/>
      </c>
      <c r="I75" s="24" t="inlineStr"/>
    </row>
    <row r="76">
      <c r="B76" s="26" t="n">
        <v>72</v>
      </c>
      <c r="C76" s="27">
        <f>DATE(YEAR(Inputs!C11),MONTH(Inputs!C11)+(72-1)*(12/Inputs!C8),DAY(Inputs!C11))</f>
        <v/>
      </c>
      <c r="D76" s="28">
        <f>IF(72&lt;=Inputs!C10*Inputs!C8,Inputs!C6*Inputs!C7/Inputs!C8,0)</f>
        <v/>
      </c>
      <c r="E76" s="28">
        <f>IF(Inputs!C12="Bullet",IF(72=Inputs!C10*Inputs!C8,IF(Inputs!C12="Bullet",Inputs!C6,0),0),IF(Inputs!C12="Full",IF(72&lt;=Inputs!C10*Inputs!C8,Inputs!C6/(Inputs!C10*Inputs!C8),0),IF(72&lt;=Inputs!C10*Inputs!C8,MAX(Inputs!C6*Inputs!C13/Inputs!C8-SUM($D$5:$D75),0),0)))</f>
        <v/>
      </c>
      <c r="F76" s="28">
        <f>D76+E76</f>
        <v/>
      </c>
      <c r="G76" s="29">
        <f>IFERROR(1/(1+Inputs!C9/Inputs!C8)^72,"")</f>
        <v/>
      </c>
      <c r="H76" s="28">
        <f>F76*G76</f>
        <v/>
      </c>
      <c r="I76" s="28" t="inlineStr"/>
    </row>
    <row r="77">
      <c r="B77" s="22" t="n">
        <v>73</v>
      </c>
      <c r="C77" s="23">
        <f>DATE(YEAR(Inputs!C11),MONTH(Inputs!C11)+(73-1)*(12/Inputs!C8),DAY(Inputs!C11))</f>
        <v/>
      </c>
      <c r="D77" s="24">
        <f>IF(73&lt;=Inputs!C10*Inputs!C8,Inputs!C6*Inputs!C7/Inputs!C8,0)</f>
        <v/>
      </c>
      <c r="E77" s="24">
        <f>IF(Inputs!C12="Bullet",IF(73=Inputs!C10*Inputs!C8,IF(Inputs!C12="Bullet",Inputs!C6,0),0),IF(Inputs!C12="Full",IF(73&lt;=Inputs!C10*Inputs!C8,Inputs!C6/(Inputs!C10*Inputs!C8),0),IF(73&lt;=Inputs!C10*Inputs!C8,MAX(Inputs!C6*Inputs!C13/Inputs!C8-SUM($D$5:$D76),0),0)))</f>
        <v/>
      </c>
      <c r="F77" s="24">
        <f>D77+E77</f>
        <v/>
      </c>
      <c r="G77" s="25">
        <f>IFERROR(1/(1+Inputs!C9/Inputs!C8)^73,"")</f>
        <v/>
      </c>
      <c r="H77" s="24">
        <f>F77*G77</f>
        <v/>
      </c>
      <c r="I77" s="24" t="inlineStr"/>
    </row>
    <row r="78">
      <c r="B78" s="26" t="n">
        <v>74</v>
      </c>
      <c r="C78" s="27">
        <f>DATE(YEAR(Inputs!C11),MONTH(Inputs!C11)+(74-1)*(12/Inputs!C8),DAY(Inputs!C11))</f>
        <v/>
      </c>
      <c r="D78" s="28">
        <f>IF(74&lt;=Inputs!C10*Inputs!C8,Inputs!C6*Inputs!C7/Inputs!C8,0)</f>
        <v/>
      </c>
      <c r="E78" s="28">
        <f>IF(Inputs!C12="Bullet",IF(74=Inputs!C10*Inputs!C8,IF(Inputs!C12="Bullet",Inputs!C6,0),0),IF(Inputs!C12="Full",IF(74&lt;=Inputs!C10*Inputs!C8,Inputs!C6/(Inputs!C10*Inputs!C8),0),IF(74&lt;=Inputs!C10*Inputs!C8,MAX(Inputs!C6*Inputs!C13/Inputs!C8-SUM($D$5:$D77),0),0)))</f>
        <v/>
      </c>
      <c r="F78" s="28">
        <f>D78+E78</f>
        <v/>
      </c>
      <c r="G78" s="29">
        <f>IFERROR(1/(1+Inputs!C9/Inputs!C8)^74,"")</f>
        <v/>
      </c>
      <c r="H78" s="28">
        <f>F78*G78</f>
        <v/>
      </c>
      <c r="I78" s="28" t="inlineStr"/>
    </row>
    <row r="79">
      <c r="B79" s="22" t="n">
        <v>75</v>
      </c>
      <c r="C79" s="23">
        <f>DATE(YEAR(Inputs!C11),MONTH(Inputs!C11)+(75-1)*(12/Inputs!C8),DAY(Inputs!C11))</f>
        <v/>
      </c>
      <c r="D79" s="24">
        <f>IF(75&lt;=Inputs!C10*Inputs!C8,Inputs!C6*Inputs!C7/Inputs!C8,0)</f>
        <v/>
      </c>
      <c r="E79" s="24">
        <f>IF(Inputs!C12="Bullet",IF(75=Inputs!C10*Inputs!C8,IF(Inputs!C12="Bullet",Inputs!C6,0),0),IF(Inputs!C12="Full",IF(75&lt;=Inputs!C10*Inputs!C8,Inputs!C6/(Inputs!C10*Inputs!C8),0),IF(75&lt;=Inputs!C10*Inputs!C8,MAX(Inputs!C6*Inputs!C13/Inputs!C8-SUM($D$5:$D78),0),0)))</f>
        <v/>
      </c>
      <c r="F79" s="24">
        <f>D79+E79</f>
        <v/>
      </c>
      <c r="G79" s="25">
        <f>IFERROR(1/(1+Inputs!C9/Inputs!C8)^75,"")</f>
        <v/>
      </c>
      <c r="H79" s="24">
        <f>F79*G79</f>
        <v/>
      </c>
      <c r="I79" s="24" t="inlineStr"/>
    </row>
    <row r="80">
      <c r="B80" s="26" t="n">
        <v>76</v>
      </c>
      <c r="C80" s="27">
        <f>DATE(YEAR(Inputs!C11),MONTH(Inputs!C11)+(76-1)*(12/Inputs!C8),DAY(Inputs!C11))</f>
        <v/>
      </c>
      <c r="D80" s="28">
        <f>IF(76&lt;=Inputs!C10*Inputs!C8,Inputs!C6*Inputs!C7/Inputs!C8,0)</f>
        <v/>
      </c>
      <c r="E80" s="28">
        <f>IF(Inputs!C12="Bullet",IF(76=Inputs!C10*Inputs!C8,IF(Inputs!C12="Bullet",Inputs!C6,0),0),IF(Inputs!C12="Full",IF(76&lt;=Inputs!C10*Inputs!C8,Inputs!C6/(Inputs!C10*Inputs!C8),0),IF(76&lt;=Inputs!C10*Inputs!C8,MAX(Inputs!C6*Inputs!C13/Inputs!C8-SUM($D$5:$D79),0),0)))</f>
        <v/>
      </c>
      <c r="F80" s="28">
        <f>D80+E80</f>
        <v/>
      </c>
      <c r="G80" s="29">
        <f>IFERROR(1/(1+Inputs!C9/Inputs!C8)^76,"")</f>
        <v/>
      </c>
      <c r="H80" s="28">
        <f>F80*G80</f>
        <v/>
      </c>
      <c r="I80" s="28" t="inlineStr"/>
    </row>
    <row r="81">
      <c r="B81" s="22" t="n">
        <v>77</v>
      </c>
      <c r="C81" s="23">
        <f>DATE(YEAR(Inputs!C11),MONTH(Inputs!C11)+(77-1)*(12/Inputs!C8),DAY(Inputs!C11))</f>
        <v/>
      </c>
      <c r="D81" s="24">
        <f>IF(77&lt;=Inputs!C10*Inputs!C8,Inputs!C6*Inputs!C7/Inputs!C8,0)</f>
        <v/>
      </c>
      <c r="E81" s="24">
        <f>IF(Inputs!C12="Bullet",IF(77=Inputs!C10*Inputs!C8,IF(Inputs!C12="Bullet",Inputs!C6,0),0),IF(Inputs!C12="Full",IF(77&lt;=Inputs!C10*Inputs!C8,Inputs!C6/(Inputs!C10*Inputs!C8),0),IF(77&lt;=Inputs!C10*Inputs!C8,MAX(Inputs!C6*Inputs!C13/Inputs!C8-SUM($D$5:$D80),0),0)))</f>
        <v/>
      </c>
      <c r="F81" s="24">
        <f>D81+E81</f>
        <v/>
      </c>
      <c r="G81" s="25">
        <f>IFERROR(1/(1+Inputs!C9/Inputs!C8)^77,"")</f>
        <v/>
      </c>
      <c r="H81" s="24">
        <f>F81*G81</f>
        <v/>
      </c>
      <c r="I81" s="24" t="inlineStr"/>
    </row>
    <row r="82">
      <c r="B82" s="26" t="n">
        <v>78</v>
      </c>
      <c r="C82" s="27">
        <f>DATE(YEAR(Inputs!C11),MONTH(Inputs!C11)+(78-1)*(12/Inputs!C8),DAY(Inputs!C11))</f>
        <v/>
      </c>
      <c r="D82" s="28">
        <f>IF(78&lt;=Inputs!C10*Inputs!C8,Inputs!C6*Inputs!C7/Inputs!C8,0)</f>
        <v/>
      </c>
      <c r="E82" s="28">
        <f>IF(Inputs!C12="Bullet",IF(78=Inputs!C10*Inputs!C8,IF(Inputs!C12="Bullet",Inputs!C6,0),0),IF(Inputs!C12="Full",IF(78&lt;=Inputs!C10*Inputs!C8,Inputs!C6/(Inputs!C10*Inputs!C8),0),IF(78&lt;=Inputs!C10*Inputs!C8,MAX(Inputs!C6*Inputs!C13/Inputs!C8-SUM($D$5:$D81),0),0)))</f>
        <v/>
      </c>
      <c r="F82" s="28">
        <f>D82+E82</f>
        <v/>
      </c>
      <c r="G82" s="29">
        <f>IFERROR(1/(1+Inputs!C9/Inputs!C8)^78,"")</f>
        <v/>
      </c>
      <c r="H82" s="28">
        <f>F82*G82</f>
        <v/>
      </c>
      <c r="I82" s="28" t="inlineStr"/>
    </row>
    <row r="83">
      <c r="B83" s="22" t="n">
        <v>79</v>
      </c>
      <c r="C83" s="23">
        <f>DATE(YEAR(Inputs!C11),MONTH(Inputs!C11)+(79-1)*(12/Inputs!C8),DAY(Inputs!C11))</f>
        <v/>
      </c>
      <c r="D83" s="24">
        <f>IF(79&lt;=Inputs!C10*Inputs!C8,Inputs!C6*Inputs!C7/Inputs!C8,0)</f>
        <v/>
      </c>
      <c r="E83" s="24">
        <f>IF(Inputs!C12="Bullet",IF(79=Inputs!C10*Inputs!C8,IF(Inputs!C12="Bullet",Inputs!C6,0),0),IF(Inputs!C12="Full",IF(79&lt;=Inputs!C10*Inputs!C8,Inputs!C6/(Inputs!C10*Inputs!C8),0),IF(79&lt;=Inputs!C10*Inputs!C8,MAX(Inputs!C6*Inputs!C13/Inputs!C8-SUM($D$5:$D82),0),0)))</f>
        <v/>
      </c>
      <c r="F83" s="24">
        <f>D83+E83</f>
        <v/>
      </c>
      <c r="G83" s="25">
        <f>IFERROR(1/(1+Inputs!C9/Inputs!C8)^79,"")</f>
        <v/>
      </c>
      <c r="H83" s="24">
        <f>F83*G83</f>
        <v/>
      </c>
      <c r="I83" s="24" t="inlineStr"/>
    </row>
    <row r="84">
      <c r="B84" s="26" t="n">
        <v>80</v>
      </c>
      <c r="C84" s="27">
        <f>DATE(YEAR(Inputs!C11),MONTH(Inputs!C11)+(80-1)*(12/Inputs!C8),DAY(Inputs!C11))</f>
        <v/>
      </c>
      <c r="D84" s="28">
        <f>IF(80&lt;=Inputs!C10*Inputs!C8,Inputs!C6*Inputs!C7/Inputs!C8,0)</f>
        <v/>
      </c>
      <c r="E84" s="28">
        <f>IF(Inputs!C12="Bullet",IF(80=Inputs!C10*Inputs!C8,IF(Inputs!C12="Bullet",Inputs!C6,0),0),IF(Inputs!C12="Full",IF(80&lt;=Inputs!C10*Inputs!C8,Inputs!C6/(Inputs!C10*Inputs!C8),0),IF(80&lt;=Inputs!C10*Inputs!C8,MAX(Inputs!C6*Inputs!C13/Inputs!C8-SUM($D$5:$D83),0),0)))</f>
        <v/>
      </c>
      <c r="F84" s="28">
        <f>D84+E84</f>
        <v/>
      </c>
      <c r="G84" s="29">
        <f>IFERROR(1/(1+Inputs!C9/Inputs!C8)^80,"")</f>
        <v/>
      </c>
      <c r="H84" s="28">
        <f>F84*G84</f>
        <v/>
      </c>
      <c r="I84" s="28" t="inlineStr"/>
    </row>
    <row r="85">
      <c r="B85" s="22" t="n">
        <v>81</v>
      </c>
      <c r="C85" s="23">
        <f>DATE(YEAR(Inputs!C11),MONTH(Inputs!C11)+(81-1)*(12/Inputs!C8),DAY(Inputs!C11))</f>
        <v/>
      </c>
      <c r="D85" s="24">
        <f>IF(81&lt;=Inputs!C10*Inputs!C8,Inputs!C6*Inputs!C7/Inputs!C8,0)</f>
        <v/>
      </c>
      <c r="E85" s="24">
        <f>IF(Inputs!C12="Bullet",IF(81=Inputs!C10*Inputs!C8,IF(Inputs!C12="Bullet",Inputs!C6,0),0),IF(Inputs!C12="Full",IF(81&lt;=Inputs!C10*Inputs!C8,Inputs!C6/(Inputs!C10*Inputs!C8),0),IF(81&lt;=Inputs!C10*Inputs!C8,MAX(Inputs!C6*Inputs!C13/Inputs!C8-SUM($D$5:$D84),0),0)))</f>
        <v/>
      </c>
      <c r="F85" s="24">
        <f>D85+E85</f>
        <v/>
      </c>
      <c r="G85" s="25">
        <f>IFERROR(1/(1+Inputs!C9/Inputs!C8)^81,"")</f>
        <v/>
      </c>
      <c r="H85" s="24">
        <f>F85*G85</f>
        <v/>
      </c>
      <c r="I85" s="24" t="inlineStr"/>
    </row>
    <row r="86">
      <c r="B86" s="26" t="n">
        <v>82</v>
      </c>
      <c r="C86" s="27">
        <f>DATE(YEAR(Inputs!C11),MONTH(Inputs!C11)+(82-1)*(12/Inputs!C8),DAY(Inputs!C11))</f>
        <v/>
      </c>
      <c r="D86" s="28">
        <f>IF(82&lt;=Inputs!C10*Inputs!C8,Inputs!C6*Inputs!C7/Inputs!C8,0)</f>
        <v/>
      </c>
      <c r="E86" s="28">
        <f>IF(Inputs!C12="Bullet",IF(82=Inputs!C10*Inputs!C8,IF(Inputs!C12="Bullet",Inputs!C6,0),0),IF(Inputs!C12="Full",IF(82&lt;=Inputs!C10*Inputs!C8,Inputs!C6/(Inputs!C10*Inputs!C8),0),IF(82&lt;=Inputs!C10*Inputs!C8,MAX(Inputs!C6*Inputs!C13/Inputs!C8-SUM($D$5:$D85),0),0)))</f>
        <v/>
      </c>
      <c r="F86" s="28">
        <f>D86+E86</f>
        <v/>
      </c>
      <c r="G86" s="29">
        <f>IFERROR(1/(1+Inputs!C9/Inputs!C8)^82,"")</f>
        <v/>
      </c>
      <c r="H86" s="28">
        <f>F86*G86</f>
        <v/>
      </c>
      <c r="I86" s="28" t="inlineStr"/>
    </row>
    <row r="87">
      <c r="B87" s="22" t="n">
        <v>83</v>
      </c>
      <c r="C87" s="23">
        <f>DATE(YEAR(Inputs!C11),MONTH(Inputs!C11)+(83-1)*(12/Inputs!C8),DAY(Inputs!C11))</f>
        <v/>
      </c>
      <c r="D87" s="24">
        <f>IF(83&lt;=Inputs!C10*Inputs!C8,Inputs!C6*Inputs!C7/Inputs!C8,0)</f>
        <v/>
      </c>
      <c r="E87" s="24">
        <f>IF(Inputs!C12="Bullet",IF(83=Inputs!C10*Inputs!C8,IF(Inputs!C12="Bullet",Inputs!C6,0),0),IF(Inputs!C12="Full",IF(83&lt;=Inputs!C10*Inputs!C8,Inputs!C6/(Inputs!C10*Inputs!C8),0),IF(83&lt;=Inputs!C10*Inputs!C8,MAX(Inputs!C6*Inputs!C13/Inputs!C8-SUM($D$5:$D86),0),0)))</f>
        <v/>
      </c>
      <c r="F87" s="24">
        <f>D87+E87</f>
        <v/>
      </c>
      <c r="G87" s="25">
        <f>IFERROR(1/(1+Inputs!C9/Inputs!C8)^83,"")</f>
        <v/>
      </c>
      <c r="H87" s="24">
        <f>F87*G87</f>
        <v/>
      </c>
      <c r="I87" s="24" t="inlineStr"/>
    </row>
    <row r="88">
      <c r="B88" s="26" t="n">
        <v>84</v>
      </c>
      <c r="C88" s="27">
        <f>DATE(YEAR(Inputs!C11),MONTH(Inputs!C11)+(84-1)*(12/Inputs!C8),DAY(Inputs!C11))</f>
        <v/>
      </c>
      <c r="D88" s="28">
        <f>IF(84&lt;=Inputs!C10*Inputs!C8,Inputs!C6*Inputs!C7/Inputs!C8,0)</f>
        <v/>
      </c>
      <c r="E88" s="28">
        <f>IF(Inputs!C12="Bullet",IF(84=Inputs!C10*Inputs!C8,IF(Inputs!C12="Bullet",Inputs!C6,0),0),IF(Inputs!C12="Full",IF(84&lt;=Inputs!C10*Inputs!C8,Inputs!C6/(Inputs!C10*Inputs!C8),0),IF(84&lt;=Inputs!C10*Inputs!C8,MAX(Inputs!C6*Inputs!C13/Inputs!C8-SUM($D$5:$D87),0),0)))</f>
        <v/>
      </c>
      <c r="F88" s="28">
        <f>D88+E88</f>
        <v/>
      </c>
      <c r="G88" s="29">
        <f>IFERROR(1/(1+Inputs!C9/Inputs!C8)^84,"")</f>
        <v/>
      </c>
      <c r="H88" s="28">
        <f>F88*G88</f>
        <v/>
      </c>
      <c r="I88" s="28" t="inlineStr"/>
    </row>
    <row r="89">
      <c r="B89" s="22" t="n">
        <v>85</v>
      </c>
      <c r="C89" s="23">
        <f>DATE(YEAR(Inputs!C11),MONTH(Inputs!C11)+(85-1)*(12/Inputs!C8),DAY(Inputs!C11))</f>
        <v/>
      </c>
      <c r="D89" s="24">
        <f>IF(85&lt;=Inputs!C10*Inputs!C8,Inputs!C6*Inputs!C7/Inputs!C8,0)</f>
        <v/>
      </c>
      <c r="E89" s="24">
        <f>IF(Inputs!C12="Bullet",IF(85=Inputs!C10*Inputs!C8,IF(Inputs!C12="Bullet",Inputs!C6,0),0),IF(Inputs!C12="Full",IF(85&lt;=Inputs!C10*Inputs!C8,Inputs!C6/(Inputs!C10*Inputs!C8),0),IF(85&lt;=Inputs!C10*Inputs!C8,MAX(Inputs!C6*Inputs!C13/Inputs!C8-SUM($D$5:$D88),0),0)))</f>
        <v/>
      </c>
      <c r="F89" s="24">
        <f>D89+E89</f>
        <v/>
      </c>
      <c r="G89" s="25">
        <f>IFERROR(1/(1+Inputs!C9/Inputs!C8)^85,"")</f>
        <v/>
      </c>
      <c r="H89" s="24">
        <f>F89*G89</f>
        <v/>
      </c>
      <c r="I89" s="24" t="inlineStr"/>
    </row>
    <row r="90">
      <c r="B90" s="26" t="n">
        <v>86</v>
      </c>
      <c r="C90" s="27">
        <f>DATE(YEAR(Inputs!C11),MONTH(Inputs!C11)+(86-1)*(12/Inputs!C8),DAY(Inputs!C11))</f>
        <v/>
      </c>
      <c r="D90" s="28">
        <f>IF(86&lt;=Inputs!C10*Inputs!C8,Inputs!C6*Inputs!C7/Inputs!C8,0)</f>
        <v/>
      </c>
      <c r="E90" s="28">
        <f>IF(Inputs!C12="Bullet",IF(86=Inputs!C10*Inputs!C8,IF(Inputs!C12="Bullet",Inputs!C6,0),0),IF(Inputs!C12="Full",IF(86&lt;=Inputs!C10*Inputs!C8,Inputs!C6/(Inputs!C10*Inputs!C8),0),IF(86&lt;=Inputs!C10*Inputs!C8,MAX(Inputs!C6*Inputs!C13/Inputs!C8-SUM($D$5:$D89),0),0)))</f>
        <v/>
      </c>
      <c r="F90" s="28">
        <f>D90+E90</f>
        <v/>
      </c>
      <c r="G90" s="29">
        <f>IFERROR(1/(1+Inputs!C9/Inputs!C8)^86,"")</f>
        <v/>
      </c>
      <c r="H90" s="28">
        <f>F90*G90</f>
        <v/>
      </c>
      <c r="I90" s="28" t="inlineStr"/>
    </row>
    <row r="91">
      <c r="B91" s="22" t="n">
        <v>87</v>
      </c>
      <c r="C91" s="23">
        <f>DATE(YEAR(Inputs!C11),MONTH(Inputs!C11)+(87-1)*(12/Inputs!C8),DAY(Inputs!C11))</f>
        <v/>
      </c>
      <c r="D91" s="24">
        <f>IF(87&lt;=Inputs!C10*Inputs!C8,Inputs!C6*Inputs!C7/Inputs!C8,0)</f>
        <v/>
      </c>
      <c r="E91" s="24">
        <f>IF(Inputs!C12="Bullet",IF(87=Inputs!C10*Inputs!C8,IF(Inputs!C12="Bullet",Inputs!C6,0),0),IF(Inputs!C12="Full",IF(87&lt;=Inputs!C10*Inputs!C8,Inputs!C6/(Inputs!C10*Inputs!C8),0),IF(87&lt;=Inputs!C10*Inputs!C8,MAX(Inputs!C6*Inputs!C13/Inputs!C8-SUM($D$5:$D90),0),0)))</f>
        <v/>
      </c>
      <c r="F91" s="24">
        <f>D91+E91</f>
        <v/>
      </c>
      <c r="G91" s="25">
        <f>IFERROR(1/(1+Inputs!C9/Inputs!C8)^87,"")</f>
        <v/>
      </c>
      <c r="H91" s="24">
        <f>F91*G91</f>
        <v/>
      </c>
      <c r="I91" s="24" t="inlineStr"/>
    </row>
    <row r="92">
      <c r="B92" s="26" t="n">
        <v>88</v>
      </c>
      <c r="C92" s="27">
        <f>DATE(YEAR(Inputs!C11),MONTH(Inputs!C11)+(88-1)*(12/Inputs!C8),DAY(Inputs!C11))</f>
        <v/>
      </c>
      <c r="D92" s="28">
        <f>IF(88&lt;=Inputs!C10*Inputs!C8,Inputs!C6*Inputs!C7/Inputs!C8,0)</f>
        <v/>
      </c>
      <c r="E92" s="28">
        <f>IF(Inputs!C12="Bullet",IF(88=Inputs!C10*Inputs!C8,IF(Inputs!C12="Bullet",Inputs!C6,0),0),IF(Inputs!C12="Full",IF(88&lt;=Inputs!C10*Inputs!C8,Inputs!C6/(Inputs!C10*Inputs!C8),0),IF(88&lt;=Inputs!C10*Inputs!C8,MAX(Inputs!C6*Inputs!C13/Inputs!C8-SUM($D$5:$D91),0),0)))</f>
        <v/>
      </c>
      <c r="F92" s="28">
        <f>D92+E92</f>
        <v/>
      </c>
      <c r="G92" s="29">
        <f>IFERROR(1/(1+Inputs!C9/Inputs!C8)^88,"")</f>
        <v/>
      </c>
      <c r="H92" s="28">
        <f>F92*G92</f>
        <v/>
      </c>
      <c r="I92" s="28" t="inlineStr"/>
    </row>
    <row r="93">
      <c r="B93" s="22" t="n">
        <v>89</v>
      </c>
      <c r="C93" s="23">
        <f>DATE(YEAR(Inputs!C11),MONTH(Inputs!C11)+(89-1)*(12/Inputs!C8),DAY(Inputs!C11))</f>
        <v/>
      </c>
      <c r="D93" s="24">
        <f>IF(89&lt;=Inputs!C10*Inputs!C8,Inputs!C6*Inputs!C7/Inputs!C8,0)</f>
        <v/>
      </c>
      <c r="E93" s="24">
        <f>IF(Inputs!C12="Bullet",IF(89=Inputs!C10*Inputs!C8,IF(Inputs!C12="Bullet",Inputs!C6,0),0),IF(Inputs!C12="Full",IF(89&lt;=Inputs!C10*Inputs!C8,Inputs!C6/(Inputs!C10*Inputs!C8),0),IF(89&lt;=Inputs!C10*Inputs!C8,MAX(Inputs!C6*Inputs!C13/Inputs!C8-SUM($D$5:$D92),0),0)))</f>
        <v/>
      </c>
      <c r="F93" s="24">
        <f>D93+E93</f>
        <v/>
      </c>
      <c r="G93" s="25">
        <f>IFERROR(1/(1+Inputs!C9/Inputs!C8)^89,"")</f>
        <v/>
      </c>
      <c r="H93" s="24">
        <f>F93*G93</f>
        <v/>
      </c>
      <c r="I93" s="24" t="inlineStr"/>
    </row>
    <row r="94">
      <c r="B94" s="26" t="n">
        <v>90</v>
      </c>
      <c r="C94" s="27">
        <f>DATE(YEAR(Inputs!C11),MONTH(Inputs!C11)+(90-1)*(12/Inputs!C8),DAY(Inputs!C11))</f>
        <v/>
      </c>
      <c r="D94" s="28">
        <f>IF(90&lt;=Inputs!C10*Inputs!C8,Inputs!C6*Inputs!C7/Inputs!C8,0)</f>
        <v/>
      </c>
      <c r="E94" s="28">
        <f>IF(Inputs!C12="Bullet",IF(90=Inputs!C10*Inputs!C8,IF(Inputs!C12="Bullet",Inputs!C6,0),0),IF(Inputs!C12="Full",IF(90&lt;=Inputs!C10*Inputs!C8,Inputs!C6/(Inputs!C10*Inputs!C8),0),IF(90&lt;=Inputs!C10*Inputs!C8,MAX(Inputs!C6*Inputs!C13/Inputs!C8-SUM($D$5:$D93),0),0)))</f>
        <v/>
      </c>
      <c r="F94" s="28">
        <f>D94+E94</f>
        <v/>
      </c>
      <c r="G94" s="29">
        <f>IFERROR(1/(1+Inputs!C9/Inputs!C8)^90,"")</f>
        <v/>
      </c>
      <c r="H94" s="28">
        <f>F94*G94</f>
        <v/>
      </c>
      <c r="I94" s="28" t="inlineStr"/>
    </row>
    <row r="95">
      <c r="B95" s="22" t="n">
        <v>91</v>
      </c>
      <c r="C95" s="23">
        <f>DATE(YEAR(Inputs!C11),MONTH(Inputs!C11)+(91-1)*(12/Inputs!C8),DAY(Inputs!C11))</f>
        <v/>
      </c>
      <c r="D95" s="24">
        <f>IF(91&lt;=Inputs!C10*Inputs!C8,Inputs!C6*Inputs!C7/Inputs!C8,0)</f>
        <v/>
      </c>
      <c r="E95" s="24">
        <f>IF(Inputs!C12="Bullet",IF(91=Inputs!C10*Inputs!C8,IF(Inputs!C12="Bullet",Inputs!C6,0),0),IF(Inputs!C12="Full",IF(91&lt;=Inputs!C10*Inputs!C8,Inputs!C6/(Inputs!C10*Inputs!C8),0),IF(91&lt;=Inputs!C10*Inputs!C8,MAX(Inputs!C6*Inputs!C13/Inputs!C8-SUM($D$5:$D94),0),0)))</f>
        <v/>
      </c>
      <c r="F95" s="24">
        <f>D95+E95</f>
        <v/>
      </c>
      <c r="G95" s="25">
        <f>IFERROR(1/(1+Inputs!C9/Inputs!C8)^91,"")</f>
        <v/>
      </c>
      <c r="H95" s="24">
        <f>F95*G95</f>
        <v/>
      </c>
      <c r="I95" s="24" t="inlineStr"/>
    </row>
    <row r="96">
      <c r="B96" s="26" t="n">
        <v>92</v>
      </c>
      <c r="C96" s="27">
        <f>DATE(YEAR(Inputs!C11),MONTH(Inputs!C11)+(92-1)*(12/Inputs!C8),DAY(Inputs!C11))</f>
        <v/>
      </c>
      <c r="D96" s="28">
        <f>IF(92&lt;=Inputs!C10*Inputs!C8,Inputs!C6*Inputs!C7/Inputs!C8,0)</f>
        <v/>
      </c>
      <c r="E96" s="28">
        <f>IF(Inputs!C12="Bullet",IF(92=Inputs!C10*Inputs!C8,IF(Inputs!C12="Bullet",Inputs!C6,0),0),IF(Inputs!C12="Full",IF(92&lt;=Inputs!C10*Inputs!C8,Inputs!C6/(Inputs!C10*Inputs!C8),0),IF(92&lt;=Inputs!C10*Inputs!C8,MAX(Inputs!C6*Inputs!C13/Inputs!C8-SUM($D$5:$D95),0),0)))</f>
        <v/>
      </c>
      <c r="F96" s="28">
        <f>D96+E96</f>
        <v/>
      </c>
      <c r="G96" s="29">
        <f>IFERROR(1/(1+Inputs!C9/Inputs!C8)^92,"")</f>
        <v/>
      </c>
      <c r="H96" s="28">
        <f>F96*G96</f>
        <v/>
      </c>
      <c r="I96" s="28" t="inlineStr"/>
    </row>
    <row r="97">
      <c r="B97" s="22" t="n">
        <v>93</v>
      </c>
      <c r="C97" s="23">
        <f>DATE(YEAR(Inputs!C11),MONTH(Inputs!C11)+(93-1)*(12/Inputs!C8),DAY(Inputs!C11))</f>
        <v/>
      </c>
      <c r="D97" s="24">
        <f>IF(93&lt;=Inputs!C10*Inputs!C8,Inputs!C6*Inputs!C7/Inputs!C8,0)</f>
        <v/>
      </c>
      <c r="E97" s="24">
        <f>IF(Inputs!C12="Bullet",IF(93=Inputs!C10*Inputs!C8,IF(Inputs!C12="Bullet",Inputs!C6,0),0),IF(Inputs!C12="Full",IF(93&lt;=Inputs!C10*Inputs!C8,Inputs!C6/(Inputs!C10*Inputs!C8),0),IF(93&lt;=Inputs!C10*Inputs!C8,MAX(Inputs!C6*Inputs!C13/Inputs!C8-SUM($D$5:$D96),0),0)))</f>
        <v/>
      </c>
      <c r="F97" s="24">
        <f>D97+E97</f>
        <v/>
      </c>
      <c r="G97" s="25">
        <f>IFERROR(1/(1+Inputs!C9/Inputs!C8)^93,"")</f>
        <v/>
      </c>
      <c r="H97" s="24">
        <f>F97*G97</f>
        <v/>
      </c>
      <c r="I97" s="24" t="inlineStr"/>
    </row>
    <row r="98">
      <c r="B98" s="26" t="n">
        <v>94</v>
      </c>
      <c r="C98" s="27">
        <f>DATE(YEAR(Inputs!C11),MONTH(Inputs!C11)+(94-1)*(12/Inputs!C8),DAY(Inputs!C11))</f>
        <v/>
      </c>
      <c r="D98" s="28">
        <f>IF(94&lt;=Inputs!C10*Inputs!C8,Inputs!C6*Inputs!C7/Inputs!C8,0)</f>
        <v/>
      </c>
      <c r="E98" s="28">
        <f>IF(Inputs!C12="Bullet",IF(94=Inputs!C10*Inputs!C8,IF(Inputs!C12="Bullet",Inputs!C6,0),0),IF(Inputs!C12="Full",IF(94&lt;=Inputs!C10*Inputs!C8,Inputs!C6/(Inputs!C10*Inputs!C8),0),IF(94&lt;=Inputs!C10*Inputs!C8,MAX(Inputs!C6*Inputs!C13/Inputs!C8-SUM($D$5:$D97),0),0)))</f>
        <v/>
      </c>
      <c r="F98" s="28">
        <f>D98+E98</f>
        <v/>
      </c>
      <c r="G98" s="29">
        <f>IFERROR(1/(1+Inputs!C9/Inputs!C8)^94,"")</f>
        <v/>
      </c>
      <c r="H98" s="28">
        <f>F98*G98</f>
        <v/>
      </c>
      <c r="I98" s="28" t="inlineStr"/>
    </row>
    <row r="99">
      <c r="B99" s="22" t="n">
        <v>95</v>
      </c>
      <c r="C99" s="23">
        <f>DATE(YEAR(Inputs!C11),MONTH(Inputs!C11)+(95-1)*(12/Inputs!C8),DAY(Inputs!C11))</f>
        <v/>
      </c>
      <c r="D99" s="24">
        <f>IF(95&lt;=Inputs!C10*Inputs!C8,Inputs!C6*Inputs!C7/Inputs!C8,0)</f>
        <v/>
      </c>
      <c r="E99" s="24">
        <f>IF(Inputs!C12="Bullet",IF(95=Inputs!C10*Inputs!C8,IF(Inputs!C12="Bullet",Inputs!C6,0),0),IF(Inputs!C12="Full",IF(95&lt;=Inputs!C10*Inputs!C8,Inputs!C6/(Inputs!C10*Inputs!C8),0),IF(95&lt;=Inputs!C10*Inputs!C8,MAX(Inputs!C6*Inputs!C13/Inputs!C8-SUM($D$5:$D98),0),0)))</f>
        <v/>
      </c>
      <c r="F99" s="24">
        <f>D99+E99</f>
        <v/>
      </c>
      <c r="G99" s="25">
        <f>IFERROR(1/(1+Inputs!C9/Inputs!C8)^95,"")</f>
        <v/>
      </c>
      <c r="H99" s="24">
        <f>F99*G99</f>
        <v/>
      </c>
      <c r="I99" s="24" t="inlineStr"/>
    </row>
    <row r="100">
      <c r="B100" s="26" t="n">
        <v>96</v>
      </c>
      <c r="C100" s="27">
        <f>DATE(YEAR(Inputs!C11),MONTH(Inputs!C11)+(96-1)*(12/Inputs!C8),DAY(Inputs!C11))</f>
        <v/>
      </c>
      <c r="D100" s="28">
        <f>IF(96&lt;=Inputs!C10*Inputs!C8,Inputs!C6*Inputs!C7/Inputs!C8,0)</f>
        <v/>
      </c>
      <c r="E100" s="28">
        <f>IF(Inputs!C12="Bullet",IF(96=Inputs!C10*Inputs!C8,IF(Inputs!C12="Bullet",Inputs!C6,0),0),IF(Inputs!C12="Full",IF(96&lt;=Inputs!C10*Inputs!C8,Inputs!C6/(Inputs!C10*Inputs!C8),0),IF(96&lt;=Inputs!C10*Inputs!C8,MAX(Inputs!C6*Inputs!C13/Inputs!C8-SUM($D$5:$D99),0),0)))</f>
        <v/>
      </c>
      <c r="F100" s="28">
        <f>D100+E100</f>
        <v/>
      </c>
      <c r="G100" s="29">
        <f>IFERROR(1/(1+Inputs!C9/Inputs!C8)^96,"")</f>
        <v/>
      </c>
      <c r="H100" s="28">
        <f>F100*G100</f>
        <v/>
      </c>
      <c r="I100" s="28" t="inlineStr"/>
    </row>
    <row r="101">
      <c r="B101" s="22" t="n">
        <v>97</v>
      </c>
      <c r="C101" s="23">
        <f>DATE(YEAR(Inputs!C11),MONTH(Inputs!C11)+(97-1)*(12/Inputs!C8),DAY(Inputs!C11))</f>
        <v/>
      </c>
      <c r="D101" s="24">
        <f>IF(97&lt;=Inputs!C10*Inputs!C8,Inputs!C6*Inputs!C7/Inputs!C8,0)</f>
        <v/>
      </c>
      <c r="E101" s="24">
        <f>IF(Inputs!C12="Bullet",IF(97=Inputs!C10*Inputs!C8,IF(Inputs!C12="Bullet",Inputs!C6,0),0),IF(Inputs!C12="Full",IF(97&lt;=Inputs!C10*Inputs!C8,Inputs!C6/(Inputs!C10*Inputs!C8),0),IF(97&lt;=Inputs!C10*Inputs!C8,MAX(Inputs!C6*Inputs!C13/Inputs!C8-SUM($D$5:$D100),0),0)))</f>
        <v/>
      </c>
      <c r="F101" s="24">
        <f>D101+E101</f>
        <v/>
      </c>
      <c r="G101" s="25">
        <f>IFERROR(1/(1+Inputs!C9/Inputs!C8)^97,"")</f>
        <v/>
      </c>
      <c r="H101" s="24">
        <f>F101*G101</f>
        <v/>
      </c>
      <c r="I101" s="24" t="inlineStr"/>
    </row>
    <row r="102">
      <c r="B102" s="26" t="n">
        <v>98</v>
      </c>
      <c r="C102" s="27">
        <f>DATE(YEAR(Inputs!C11),MONTH(Inputs!C11)+(98-1)*(12/Inputs!C8),DAY(Inputs!C11))</f>
        <v/>
      </c>
      <c r="D102" s="28">
        <f>IF(98&lt;=Inputs!C10*Inputs!C8,Inputs!C6*Inputs!C7/Inputs!C8,0)</f>
        <v/>
      </c>
      <c r="E102" s="28">
        <f>IF(Inputs!C12="Bullet",IF(98=Inputs!C10*Inputs!C8,IF(Inputs!C12="Bullet",Inputs!C6,0),0),IF(Inputs!C12="Full",IF(98&lt;=Inputs!C10*Inputs!C8,Inputs!C6/(Inputs!C10*Inputs!C8),0),IF(98&lt;=Inputs!C10*Inputs!C8,MAX(Inputs!C6*Inputs!C13/Inputs!C8-SUM($D$5:$D101),0),0)))</f>
        <v/>
      </c>
      <c r="F102" s="28">
        <f>D102+E102</f>
        <v/>
      </c>
      <c r="G102" s="29">
        <f>IFERROR(1/(1+Inputs!C9/Inputs!C8)^98,"")</f>
        <v/>
      </c>
      <c r="H102" s="28">
        <f>F102*G102</f>
        <v/>
      </c>
      <c r="I102" s="28" t="inlineStr"/>
    </row>
    <row r="103">
      <c r="B103" s="22" t="n">
        <v>99</v>
      </c>
      <c r="C103" s="23">
        <f>DATE(YEAR(Inputs!C11),MONTH(Inputs!C11)+(99-1)*(12/Inputs!C8),DAY(Inputs!C11))</f>
        <v/>
      </c>
      <c r="D103" s="24">
        <f>IF(99&lt;=Inputs!C10*Inputs!C8,Inputs!C6*Inputs!C7/Inputs!C8,0)</f>
        <v/>
      </c>
      <c r="E103" s="24">
        <f>IF(Inputs!C12="Bullet",IF(99=Inputs!C10*Inputs!C8,IF(Inputs!C12="Bullet",Inputs!C6,0),0),IF(Inputs!C12="Full",IF(99&lt;=Inputs!C10*Inputs!C8,Inputs!C6/(Inputs!C10*Inputs!C8),0),IF(99&lt;=Inputs!C10*Inputs!C8,MAX(Inputs!C6*Inputs!C13/Inputs!C8-SUM($D$5:$D102),0),0)))</f>
        <v/>
      </c>
      <c r="F103" s="24">
        <f>D103+E103</f>
        <v/>
      </c>
      <c r="G103" s="25">
        <f>IFERROR(1/(1+Inputs!C9/Inputs!C8)^99,"")</f>
        <v/>
      </c>
      <c r="H103" s="24">
        <f>F103*G103</f>
        <v/>
      </c>
      <c r="I103" s="24" t="inlineStr"/>
    </row>
    <row r="104">
      <c r="B104" s="26" t="n">
        <v>100</v>
      </c>
      <c r="C104" s="27">
        <f>DATE(YEAR(Inputs!C11),MONTH(Inputs!C11)+(100-1)*(12/Inputs!C8),DAY(Inputs!C11))</f>
        <v/>
      </c>
      <c r="D104" s="28">
        <f>IF(100&lt;=Inputs!C10*Inputs!C8,Inputs!C6*Inputs!C7/Inputs!C8,0)</f>
        <v/>
      </c>
      <c r="E104" s="28">
        <f>IF(Inputs!C12="Bullet",IF(100=Inputs!C10*Inputs!C8,IF(Inputs!C12="Bullet",Inputs!C6,0),0),IF(Inputs!C12="Full",IF(100&lt;=Inputs!C10*Inputs!C8,Inputs!C6/(Inputs!C10*Inputs!C8),0),IF(100&lt;=Inputs!C10*Inputs!C8,MAX(Inputs!C6*Inputs!C13/Inputs!C8-SUM($D$5:$D103),0),0)))</f>
        <v/>
      </c>
      <c r="F104" s="28">
        <f>D104+E104</f>
        <v/>
      </c>
      <c r="G104" s="29">
        <f>IFERROR(1/(1+Inputs!C9/Inputs!C8)^100,"")</f>
        <v/>
      </c>
      <c r="H104" s="28">
        <f>F104*G104</f>
        <v/>
      </c>
      <c r="I104" s="28" t="inlineStr"/>
    </row>
    <row r="105">
      <c r="B105" s="22" t="n">
        <v>101</v>
      </c>
      <c r="C105" s="23">
        <f>DATE(YEAR(Inputs!C11),MONTH(Inputs!C11)+(101-1)*(12/Inputs!C8),DAY(Inputs!C11))</f>
        <v/>
      </c>
      <c r="D105" s="24">
        <f>IF(101&lt;=Inputs!C10*Inputs!C8,Inputs!C6*Inputs!C7/Inputs!C8,0)</f>
        <v/>
      </c>
      <c r="E105" s="24">
        <f>IF(Inputs!C12="Bullet",IF(101=Inputs!C10*Inputs!C8,IF(Inputs!C12="Bullet",Inputs!C6,0),0),IF(Inputs!C12="Full",IF(101&lt;=Inputs!C10*Inputs!C8,Inputs!C6/(Inputs!C10*Inputs!C8),0),IF(101&lt;=Inputs!C10*Inputs!C8,MAX(Inputs!C6*Inputs!C13/Inputs!C8-SUM($D$5:$D104),0),0)))</f>
        <v/>
      </c>
      <c r="F105" s="24">
        <f>D105+E105</f>
        <v/>
      </c>
      <c r="G105" s="25">
        <f>IFERROR(1/(1+Inputs!C9/Inputs!C8)^101,"")</f>
        <v/>
      </c>
      <c r="H105" s="24">
        <f>F105*G105</f>
        <v/>
      </c>
      <c r="I105" s="24" t="inlineStr"/>
    </row>
    <row r="106">
      <c r="B106" s="26" t="n">
        <v>102</v>
      </c>
      <c r="C106" s="27">
        <f>DATE(YEAR(Inputs!C11),MONTH(Inputs!C11)+(102-1)*(12/Inputs!C8),DAY(Inputs!C11))</f>
        <v/>
      </c>
      <c r="D106" s="28">
        <f>IF(102&lt;=Inputs!C10*Inputs!C8,Inputs!C6*Inputs!C7/Inputs!C8,0)</f>
        <v/>
      </c>
      <c r="E106" s="28">
        <f>IF(Inputs!C12="Bullet",IF(102=Inputs!C10*Inputs!C8,IF(Inputs!C12="Bullet",Inputs!C6,0),0),IF(Inputs!C12="Full",IF(102&lt;=Inputs!C10*Inputs!C8,Inputs!C6/(Inputs!C10*Inputs!C8),0),IF(102&lt;=Inputs!C10*Inputs!C8,MAX(Inputs!C6*Inputs!C13/Inputs!C8-SUM($D$5:$D105),0),0)))</f>
        <v/>
      </c>
      <c r="F106" s="28">
        <f>D106+E106</f>
        <v/>
      </c>
      <c r="G106" s="29">
        <f>IFERROR(1/(1+Inputs!C9/Inputs!C8)^102,"")</f>
        <v/>
      </c>
      <c r="H106" s="28">
        <f>F106*G106</f>
        <v/>
      </c>
      <c r="I106" s="28" t="inlineStr"/>
    </row>
    <row r="107">
      <c r="B107" s="22" t="n">
        <v>103</v>
      </c>
      <c r="C107" s="23">
        <f>DATE(YEAR(Inputs!C11),MONTH(Inputs!C11)+(103-1)*(12/Inputs!C8),DAY(Inputs!C11))</f>
        <v/>
      </c>
      <c r="D107" s="24">
        <f>IF(103&lt;=Inputs!C10*Inputs!C8,Inputs!C6*Inputs!C7/Inputs!C8,0)</f>
        <v/>
      </c>
      <c r="E107" s="24">
        <f>IF(Inputs!C12="Bullet",IF(103=Inputs!C10*Inputs!C8,IF(Inputs!C12="Bullet",Inputs!C6,0),0),IF(Inputs!C12="Full",IF(103&lt;=Inputs!C10*Inputs!C8,Inputs!C6/(Inputs!C10*Inputs!C8),0),IF(103&lt;=Inputs!C10*Inputs!C8,MAX(Inputs!C6*Inputs!C13/Inputs!C8-SUM($D$5:$D106),0),0)))</f>
        <v/>
      </c>
      <c r="F107" s="24">
        <f>D107+E107</f>
        <v/>
      </c>
      <c r="G107" s="25">
        <f>IFERROR(1/(1+Inputs!C9/Inputs!C8)^103,"")</f>
        <v/>
      </c>
      <c r="H107" s="24">
        <f>F107*G107</f>
        <v/>
      </c>
      <c r="I107" s="24" t="inlineStr"/>
    </row>
    <row r="108">
      <c r="B108" s="26" t="n">
        <v>104</v>
      </c>
      <c r="C108" s="27">
        <f>DATE(YEAR(Inputs!C11),MONTH(Inputs!C11)+(104-1)*(12/Inputs!C8),DAY(Inputs!C11))</f>
        <v/>
      </c>
      <c r="D108" s="28">
        <f>IF(104&lt;=Inputs!C10*Inputs!C8,Inputs!C6*Inputs!C7/Inputs!C8,0)</f>
        <v/>
      </c>
      <c r="E108" s="28">
        <f>IF(Inputs!C12="Bullet",IF(104=Inputs!C10*Inputs!C8,IF(Inputs!C12="Bullet",Inputs!C6,0),0),IF(Inputs!C12="Full",IF(104&lt;=Inputs!C10*Inputs!C8,Inputs!C6/(Inputs!C10*Inputs!C8),0),IF(104&lt;=Inputs!C10*Inputs!C8,MAX(Inputs!C6*Inputs!C13/Inputs!C8-SUM($D$5:$D107),0),0)))</f>
        <v/>
      </c>
      <c r="F108" s="28">
        <f>D108+E108</f>
        <v/>
      </c>
      <c r="G108" s="29">
        <f>IFERROR(1/(1+Inputs!C9/Inputs!C8)^104,"")</f>
        <v/>
      </c>
      <c r="H108" s="28">
        <f>F108*G108</f>
        <v/>
      </c>
      <c r="I108" s="28" t="inlineStr"/>
    </row>
    <row r="109">
      <c r="B109" s="22" t="n">
        <v>105</v>
      </c>
      <c r="C109" s="23">
        <f>DATE(YEAR(Inputs!C11),MONTH(Inputs!C11)+(105-1)*(12/Inputs!C8),DAY(Inputs!C11))</f>
        <v/>
      </c>
      <c r="D109" s="24">
        <f>IF(105&lt;=Inputs!C10*Inputs!C8,Inputs!C6*Inputs!C7/Inputs!C8,0)</f>
        <v/>
      </c>
      <c r="E109" s="24">
        <f>IF(Inputs!C12="Bullet",IF(105=Inputs!C10*Inputs!C8,IF(Inputs!C12="Bullet",Inputs!C6,0),0),IF(Inputs!C12="Full",IF(105&lt;=Inputs!C10*Inputs!C8,Inputs!C6/(Inputs!C10*Inputs!C8),0),IF(105&lt;=Inputs!C10*Inputs!C8,MAX(Inputs!C6*Inputs!C13/Inputs!C8-SUM($D$5:$D108),0),0)))</f>
        <v/>
      </c>
      <c r="F109" s="24">
        <f>D109+E109</f>
        <v/>
      </c>
      <c r="G109" s="25">
        <f>IFERROR(1/(1+Inputs!C9/Inputs!C8)^105,"")</f>
        <v/>
      </c>
      <c r="H109" s="24">
        <f>F109*G109</f>
        <v/>
      </c>
      <c r="I109" s="24" t="inlineStr"/>
    </row>
    <row r="110">
      <c r="B110" s="26" t="n">
        <v>106</v>
      </c>
      <c r="C110" s="27">
        <f>DATE(YEAR(Inputs!C11),MONTH(Inputs!C11)+(106-1)*(12/Inputs!C8),DAY(Inputs!C11))</f>
        <v/>
      </c>
      <c r="D110" s="28">
        <f>IF(106&lt;=Inputs!C10*Inputs!C8,Inputs!C6*Inputs!C7/Inputs!C8,0)</f>
        <v/>
      </c>
      <c r="E110" s="28">
        <f>IF(Inputs!C12="Bullet",IF(106=Inputs!C10*Inputs!C8,IF(Inputs!C12="Bullet",Inputs!C6,0),0),IF(Inputs!C12="Full",IF(106&lt;=Inputs!C10*Inputs!C8,Inputs!C6/(Inputs!C10*Inputs!C8),0),IF(106&lt;=Inputs!C10*Inputs!C8,MAX(Inputs!C6*Inputs!C13/Inputs!C8-SUM($D$5:$D109),0),0)))</f>
        <v/>
      </c>
      <c r="F110" s="28">
        <f>D110+E110</f>
        <v/>
      </c>
      <c r="G110" s="29">
        <f>IFERROR(1/(1+Inputs!C9/Inputs!C8)^106,"")</f>
        <v/>
      </c>
      <c r="H110" s="28">
        <f>F110*G110</f>
        <v/>
      </c>
      <c r="I110" s="28" t="inlineStr"/>
    </row>
    <row r="111">
      <c r="B111" s="22" t="n">
        <v>107</v>
      </c>
      <c r="C111" s="23">
        <f>DATE(YEAR(Inputs!C11),MONTH(Inputs!C11)+(107-1)*(12/Inputs!C8),DAY(Inputs!C11))</f>
        <v/>
      </c>
      <c r="D111" s="24">
        <f>IF(107&lt;=Inputs!C10*Inputs!C8,Inputs!C6*Inputs!C7/Inputs!C8,0)</f>
        <v/>
      </c>
      <c r="E111" s="24">
        <f>IF(Inputs!C12="Bullet",IF(107=Inputs!C10*Inputs!C8,IF(Inputs!C12="Bullet",Inputs!C6,0),0),IF(Inputs!C12="Full",IF(107&lt;=Inputs!C10*Inputs!C8,Inputs!C6/(Inputs!C10*Inputs!C8),0),IF(107&lt;=Inputs!C10*Inputs!C8,MAX(Inputs!C6*Inputs!C13/Inputs!C8-SUM($D$5:$D110),0),0)))</f>
        <v/>
      </c>
      <c r="F111" s="24">
        <f>D111+E111</f>
        <v/>
      </c>
      <c r="G111" s="25">
        <f>IFERROR(1/(1+Inputs!C9/Inputs!C8)^107,"")</f>
        <v/>
      </c>
      <c r="H111" s="24">
        <f>F111*G111</f>
        <v/>
      </c>
      <c r="I111" s="24" t="inlineStr"/>
    </row>
    <row r="112">
      <c r="B112" s="26" t="n">
        <v>108</v>
      </c>
      <c r="C112" s="27">
        <f>DATE(YEAR(Inputs!C11),MONTH(Inputs!C11)+(108-1)*(12/Inputs!C8),DAY(Inputs!C11))</f>
        <v/>
      </c>
      <c r="D112" s="28">
        <f>IF(108&lt;=Inputs!C10*Inputs!C8,Inputs!C6*Inputs!C7/Inputs!C8,0)</f>
        <v/>
      </c>
      <c r="E112" s="28">
        <f>IF(Inputs!C12="Bullet",IF(108=Inputs!C10*Inputs!C8,IF(Inputs!C12="Bullet",Inputs!C6,0),0),IF(Inputs!C12="Full",IF(108&lt;=Inputs!C10*Inputs!C8,Inputs!C6/(Inputs!C10*Inputs!C8),0),IF(108&lt;=Inputs!C10*Inputs!C8,MAX(Inputs!C6*Inputs!C13/Inputs!C8-SUM($D$5:$D111),0),0)))</f>
        <v/>
      </c>
      <c r="F112" s="28">
        <f>D112+E112</f>
        <v/>
      </c>
      <c r="G112" s="29">
        <f>IFERROR(1/(1+Inputs!C9/Inputs!C8)^108,"")</f>
        <v/>
      </c>
      <c r="H112" s="28">
        <f>F112*G112</f>
        <v/>
      </c>
      <c r="I112" s="28" t="inlineStr"/>
    </row>
    <row r="113">
      <c r="B113" s="22" t="n">
        <v>109</v>
      </c>
      <c r="C113" s="23">
        <f>DATE(YEAR(Inputs!C11),MONTH(Inputs!C11)+(109-1)*(12/Inputs!C8),DAY(Inputs!C11))</f>
        <v/>
      </c>
      <c r="D113" s="24">
        <f>IF(109&lt;=Inputs!C10*Inputs!C8,Inputs!C6*Inputs!C7/Inputs!C8,0)</f>
        <v/>
      </c>
      <c r="E113" s="24">
        <f>IF(Inputs!C12="Bullet",IF(109=Inputs!C10*Inputs!C8,IF(Inputs!C12="Bullet",Inputs!C6,0),0),IF(Inputs!C12="Full",IF(109&lt;=Inputs!C10*Inputs!C8,Inputs!C6/(Inputs!C10*Inputs!C8),0),IF(109&lt;=Inputs!C10*Inputs!C8,MAX(Inputs!C6*Inputs!C13/Inputs!C8-SUM($D$5:$D112),0),0)))</f>
        <v/>
      </c>
      <c r="F113" s="24">
        <f>D113+E113</f>
        <v/>
      </c>
      <c r="G113" s="25">
        <f>IFERROR(1/(1+Inputs!C9/Inputs!C8)^109,"")</f>
        <v/>
      </c>
      <c r="H113" s="24">
        <f>F113*G113</f>
        <v/>
      </c>
      <c r="I113" s="24" t="inlineStr"/>
    </row>
    <row r="114">
      <c r="B114" s="26" t="n">
        <v>110</v>
      </c>
      <c r="C114" s="27">
        <f>DATE(YEAR(Inputs!C11),MONTH(Inputs!C11)+(110-1)*(12/Inputs!C8),DAY(Inputs!C11))</f>
        <v/>
      </c>
      <c r="D114" s="28">
        <f>IF(110&lt;=Inputs!C10*Inputs!C8,Inputs!C6*Inputs!C7/Inputs!C8,0)</f>
        <v/>
      </c>
      <c r="E114" s="28">
        <f>IF(Inputs!C12="Bullet",IF(110=Inputs!C10*Inputs!C8,IF(Inputs!C12="Bullet",Inputs!C6,0),0),IF(Inputs!C12="Full",IF(110&lt;=Inputs!C10*Inputs!C8,Inputs!C6/(Inputs!C10*Inputs!C8),0),IF(110&lt;=Inputs!C10*Inputs!C8,MAX(Inputs!C6*Inputs!C13/Inputs!C8-SUM($D$5:$D113),0),0)))</f>
        <v/>
      </c>
      <c r="F114" s="28">
        <f>D114+E114</f>
        <v/>
      </c>
      <c r="G114" s="29">
        <f>IFERROR(1/(1+Inputs!C9/Inputs!C8)^110,"")</f>
        <v/>
      </c>
      <c r="H114" s="28">
        <f>F114*G114</f>
        <v/>
      </c>
      <c r="I114" s="28" t="inlineStr"/>
    </row>
    <row r="115">
      <c r="B115" s="22" t="n">
        <v>111</v>
      </c>
      <c r="C115" s="23">
        <f>DATE(YEAR(Inputs!C11),MONTH(Inputs!C11)+(111-1)*(12/Inputs!C8),DAY(Inputs!C11))</f>
        <v/>
      </c>
      <c r="D115" s="24">
        <f>IF(111&lt;=Inputs!C10*Inputs!C8,Inputs!C6*Inputs!C7/Inputs!C8,0)</f>
        <v/>
      </c>
      <c r="E115" s="24">
        <f>IF(Inputs!C12="Bullet",IF(111=Inputs!C10*Inputs!C8,IF(Inputs!C12="Bullet",Inputs!C6,0),0),IF(Inputs!C12="Full",IF(111&lt;=Inputs!C10*Inputs!C8,Inputs!C6/(Inputs!C10*Inputs!C8),0),IF(111&lt;=Inputs!C10*Inputs!C8,MAX(Inputs!C6*Inputs!C13/Inputs!C8-SUM($D$5:$D114),0),0)))</f>
        <v/>
      </c>
      <c r="F115" s="24">
        <f>D115+E115</f>
        <v/>
      </c>
      <c r="G115" s="25">
        <f>IFERROR(1/(1+Inputs!C9/Inputs!C8)^111,"")</f>
        <v/>
      </c>
      <c r="H115" s="24">
        <f>F115*G115</f>
        <v/>
      </c>
      <c r="I115" s="24" t="inlineStr"/>
    </row>
    <row r="116">
      <c r="B116" s="26" t="n">
        <v>112</v>
      </c>
      <c r="C116" s="27">
        <f>DATE(YEAR(Inputs!C11),MONTH(Inputs!C11)+(112-1)*(12/Inputs!C8),DAY(Inputs!C11))</f>
        <v/>
      </c>
      <c r="D116" s="28">
        <f>IF(112&lt;=Inputs!C10*Inputs!C8,Inputs!C6*Inputs!C7/Inputs!C8,0)</f>
        <v/>
      </c>
      <c r="E116" s="28">
        <f>IF(Inputs!C12="Bullet",IF(112=Inputs!C10*Inputs!C8,IF(Inputs!C12="Bullet",Inputs!C6,0),0),IF(Inputs!C12="Full",IF(112&lt;=Inputs!C10*Inputs!C8,Inputs!C6/(Inputs!C10*Inputs!C8),0),IF(112&lt;=Inputs!C10*Inputs!C8,MAX(Inputs!C6*Inputs!C13/Inputs!C8-SUM($D$5:$D115),0),0)))</f>
        <v/>
      </c>
      <c r="F116" s="28">
        <f>D116+E116</f>
        <v/>
      </c>
      <c r="G116" s="29">
        <f>IFERROR(1/(1+Inputs!C9/Inputs!C8)^112,"")</f>
        <v/>
      </c>
      <c r="H116" s="28">
        <f>F116*G116</f>
        <v/>
      </c>
      <c r="I116" s="28" t="inlineStr"/>
    </row>
    <row r="117">
      <c r="B117" s="22" t="n">
        <v>113</v>
      </c>
      <c r="C117" s="23">
        <f>DATE(YEAR(Inputs!C11),MONTH(Inputs!C11)+(113-1)*(12/Inputs!C8),DAY(Inputs!C11))</f>
        <v/>
      </c>
      <c r="D117" s="24">
        <f>IF(113&lt;=Inputs!C10*Inputs!C8,Inputs!C6*Inputs!C7/Inputs!C8,0)</f>
        <v/>
      </c>
      <c r="E117" s="24">
        <f>IF(Inputs!C12="Bullet",IF(113=Inputs!C10*Inputs!C8,IF(Inputs!C12="Bullet",Inputs!C6,0),0),IF(Inputs!C12="Full",IF(113&lt;=Inputs!C10*Inputs!C8,Inputs!C6/(Inputs!C10*Inputs!C8),0),IF(113&lt;=Inputs!C10*Inputs!C8,MAX(Inputs!C6*Inputs!C13/Inputs!C8-SUM($D$5:$D116),0),0)))</f>
        <v/>
      </c>
      <c r="F117" s="24">
        <f>D117+E117</f>
        <v/>
      </c>
      <c r="G117" s="25">
        <f>IFERROR(1/(1+Inputs!C9/Inputs!C8)^113,"")</f>
        <v/>
      </c>
      <c r="H117" s="24">
        <f>F117*G117</f>
        <v/>
      </c>
      <c r="I117" s="24" t="inlineStr"/>
    </row>
    <row r="118">
      <c r="B118" s="26" t="n">
        <v>114</v>
      </c>
      <c r="C118" s="27">
        <f>DATE(YEAR(Inputs!C11),MONTH(Inputs!C11)+(114-1)*(12/Inputs!C8),DAY(Inputs!C11))</f>
        <v/>
      </c>
      <c r="D118" s="28">
        <f>IF(114&lt;=Inputs!C10*Inputs!C8,Inputs!C6*Inputs!C7/Inputs!C8,0)</f>
        <v/>
      </c>
      <c r="E118" s="28">
        <f>IF(Inputs!C12="Bullet",IF(114=Inputs!C10*Inputs!C8,IF(Inputs!C12="Bullet",Inputs!C6,0),0),IF(Inputs!C12="Full",IF(114&lt;=Inputs!C10*Inputs!C8,Inputs!C6/(Inputs!C10*Inputs!C8),0),IF(114&lt;=Inputs!C10*Inputs!C8,MAX(Inputs!C6*Inputs!C13/Inputs!C8-SUM($D$5:$D117),0),0)))</f>
        <v/>
      </c>
      <c r="F118" s="28">
        <f>D118+E118</f>
        <v/>
      </c>
      <c r="G118" s="29">
        <f>IFERROR(1/(1+Inputs!C9/Inputs!C8)^114,"")</f>
        <v/>
      </c>
      <c r="H118" s="28">
        <f>F118*G118</f>
        <v/>
      </c>
      <c r="I118" s="28" t="inlineStr"/>
    </row>
    <row r="119">
      <c r="B119" s="22" t="n">
        <v>115</v>
      </c>
      <c r="C119" s="23">
        <f>DATE(YEAR(Inputs!C11),MONTH(Inputs!C11)+(115-1)*(12/Inputs!C8),DAY(Inputs!C11))</f>
        <v/>
      </c>
      <c r="D119" s="24">
        <f>IF(115&lt;=Inputs!C10*Inputs!C8,Inputs!C6*Inputs!C7/Inputs!C8,0)</f>
        <v/>
      </c>
      <c r="E119" s="24">
        <f>IF(Inputs!C12="Bullet",IF(115=Inputs!C10*Inputs!C8,IF(Inputs!C12="Bullet",Inputs!C6,0),0),IF(Inputs!C12="Full",IF(115&lt;=Inputs!C10*Inputs!C8,Inputs!C6/(Inputs!C10*Inputs!C8),0),IF(115&lt;=Inputs!C10*Inputs!C8,MAX(Inputs!C6*Inputs!C13/Inputs!C8-SUM($D$5:$D118),0),0)))</f>
        <v/>
      </c>
      <c r="F119" s="24">
        <f>D119+E119</f>
        <v/>
      </c>
      <c r="G119" s="25">
        <f>IFERROR(1/(1+Inputs!C9/Inputs!C8)^115,"")</f>
        <v/>
      </c>
      <c r="H119" s="24">
        <f>F119*G119</f>
        <v/>
      </c>
      <c r="I119" s="24" t="inlineStr"/>
    </row>
    <row r="120">
      <c r="B120" s="26" t="n">
        <v>116</v>
      </c>
      <c r="C120" s="27">
        <f>DATE(YEAR(Inputs!C11),MONTH(Inputs!C11)+(116-1)*(12/Inputs!C8),DAY(Inputs!C11))</f>
        <v/>
      </c>
      <c r="D120" s="28">
        <f>IF(116&lt;=Inputs!C10*Inputs!C8,Inputs!C6*Inputs!C7/Inputs!C8,0)</f>
        <v/>
      </c>
      <c r="E120" s="28">
        <f>IF(Inputs!C12="Bullet",IF(116=Inputs!C10*Inputs!C8,IF(Inputs!C12="Bullet",Inputs!C6,0),0),IF(Inputs!C12="Full",IF(116&lt;=Inputs!C10*Inputs!C8,Inputs!C6/(Inputs!C10*Inputs!C8),0),IF(116&lt;=Inputs!C10*Inputs!C8,MAX(Inputs!C6*Inputs!C13/Inputs!C8-SUM($D$5:$D119),0),0)))</f>
        <v/>
      </c>
      <c r="F120" s="28">
        <f>D120+E120</f>
        <v/>
      </c>
      <c r="G120" s="29">
        <f>IFERROR(1/(1+Inputs!C9/Inputs!C8)^116,"")</f>
        <v/>
      </c>
      <c r="H120" s="28">
        <f>F120*G120</f>
        <v/>
      </c>
      <c r="I120" s="28" t="inlineStr"/>
    </row>
    <row r="121">
      <c r="B121" s="22" t="n">
        <v>117</v>
      </c>
      <c r="C121" s="23">
        <f>DATE(YEAR(Inputs!C11),MONTH(Inputs!C11)+(117-1)*(12/Inputs!C8),DAY(Inputs!C11))</f>
        <v/>
      </c>
      <c r="D121" s="24">
        <f>IF(117&lt;=Inputs!C10*Inputs!C8,Inputs!C6*Inputs!C7/Inputs!C8,0)</f>
        <v/>
      </c>
      <c r="E121" s="24">
        <f>IF(Inputs!C12="Bullet",IF(117=Inputs!C10*Inputs!C8,IF(Inputs!C12="Bullet",Inputs!C6,0),0),IF(Inputs!C12="Full",IF(117&lt;=Inputs!C10*Inputs!C8,Inputs!C6/(Inputs!C10*Inputs!C8),0),IF(117&lt;=Inputs!C10*Inputs!C8,MAX(Inputs!C6*Inputs!C13/Inputs!C8-SUM($D$5:$D120),0),0)))</f>
        <v/>
      </c>
      <c r="F121" s="24">
        <f>D121+E121</f>
        <v/>
      </c>
      <c r="G121" s="25">
        <f>IFERROR(1/(1+Inputs!C9/Inputs!C8)^117,"")</f>
        <v/>
      </c>
      <c r="H121" s="24">
        <f>F121*G121</f>
        <v/>
      </c>
      <c r="I121" s="24" t="inlineStr"/>
    </row>
    <row r="122">
      <c r="B122" s="26" t="n">
        <v>118</v>
      </c>
      <c r="C122" s="27">
        <f>DATE(YEAR(Inputs!C11),MONTH(Inputs!C11)+(118-1)*(12/Inputs!C8),DAY(Inputs!C11))</f>
        <v/>
      </c>
      <c r="D122" s="28">
        <f>IF(118&lt;=Inputs!C10*Inputs!C8,Inputs!C6*Inputs!C7/Inputs!C8,0)</f>
        <v/>
      </c>
      <c r="E122" s="28">
        <f>IF(Inputs!C12="Bullet",IF(118=Inputs!C10*Inputs!C8,IF(Inputs!C12="Bullet",Inputs!C6,0),0),IF(Inputs!C12="Full",IF(118&lt;=Inputs!C10*Inputs!C8,Inputs!C6/(Inputs!C10*Inputs!C8),0),IF(118&lt;=Inputs!C10*Inputs!C8,MAX(Inputs!C6*Inputs!C13/Inputs!C8-SUM($D$5:$D121),0),0)))</f>
        <v/>
      </c>
      <c r="F122" s="28">
        <f>D122+E122</f>
        <v/>
      </c>
      <c r="G122" s="29">
        <f>IFERROR(1/(1+Inputs!C9/Inputs!C8)^118,"")</f>
        <v/>
      </c>
      <c r="H122" s="28">
        <f>F122*G122</f>
        <v/>
      </c>
      <c r="I122" s="28" t="inlineStr"/>
    </row>
    <row r="123">
      <c r="B123" s="22" t="n">
        <v>119</v>
      </c>
      <c r="C123" s="23">
        <f>DATE(YEAR(Inputs!C11),MONTH(Inputs!C11)+(119-1)*(12/Inputs!C8),DAY(Inputs!C11))</f>
        <v/>
      </c>
      <c r="D123" s="24">
        <f>IF(119&lt;=Inputs!C10*Inputs!C8,Inputs!C6*Inputs!C7/Inputs!C8,0)</f>
        <v/>
      </c>
      <c r="E123" s="24">
        <f>IF(Inputs!C12="Bullet",IF(119=Inputs!C10*Inputs!C8,IF(Inputs!C12="Bullet",Inputs!C6,0),0),IF(Inputs!C12="Full",IF(119&lt;=Inputs!C10*Inputs!C8,Inputs!C6/(Inputs!C10*Inputs!C8),0),IF(119&lt;=Inputs!C10*Inputs!C8,MAX(Inputs!C6*Inputs!C13/Inputs!C8-SUM($D$5:$D122),0),0)))</f>
        <v/>
      </c>
      <c r="F123" s="24">
        <f>D123+E123</f>
        <v/>
      </c>
      <c r="G123" s="25">
        <f>IFERROR(1/(1+Inputs!C9/Inputs!C8)^119,"")</f>
        <v/>
      </c>
      <c r="H123" s="24">
        <f>F123*G123</f>
        <v/>
      </c>
      <c r="I123" s="24" t="inlineStr"/>
    </row>
    <row r="124">
      <c r="B124" s="26" t="n">
        <v>120</v>
      </c>
      <c r="C124" s="27">
        <f>DATE(YEAR(Inputs!C11),MONTH(Inputs!C11)+(120-1)*(12/Inputs!C8),DAY(Inputs!C11))</f>
        <v/>
      </c>
      <c r="D124" s="28">
        <f>IF(120&lt;=Inputs!C10*Inputs!C8,Inputs!C6*Inputs!C7/Inputs!C8,0)</f>
        <v/>
      </c>
      <c r="E124" s="28">
        <f>IF(Inputs!C12="Bullet",IF(120=Inputs!C10*Inputs!C8,IF(Inputs!C12="Bullet",Inputs!C6,0),0),IF(Inputs!C12="Full",IF(120&lt;=Inputs!C10*Inputs!C8,Inputs!C6/(Inputs!C10*Inputs!C8),0),IF(120&lt;=Inputs!C10*Inputs!C8,MAX(Inputs!C6*Inputs!C13/Inputs!C8-SUM($D$5:$D123),0),0)))</f>
        <v/>
      </c>
      <c r="F124" s="28">
        <f>D124+E124</f>
        <v/>
      </c>
      <c r="G124" s="29">
        <f>IFERROR(1/(1+Inputs!C9/Inputs!C8)^120,"")</f>
        <v/>
      </c>
      <c r="H124" s="28">
        <f>F124*G124</f>
        <v/>
      </c>
      <c r="I124" s="28" t="inlineStr"/>
    </row>
    <row r="125" ht="20" customHeight="1">
      <c r="B125" s="30" t="inlineStr">
        <is>
          <t>TOTAL</t>
        </is>
      </c>
      <c r="C125" s="21" t="n"/>
      <c r="D125" s="31">
        <f>SUM(D5:D124)</f>
        <v/>
      </c>
      <c r="E125" s="31">
        <f>SUM(E5:E124)</f>
        <v/>
      </c>
      <c r="F125" s="31">
        <f>SUM(F5:F124)</f>
        <v/>
      </c>
      <c r="G125" s="31">
        <f>SUM(G5:G124)</f>
        <v/>
      </c>
      <c r="H125" s="31">
        <f>SUM(G5:G124)</f>
        <v/>
      </c>
      <c r="I125" s="21" t="n"/>
    </row>
    <row r="126" ht="18" customHeight="1">
      <c r="B126" s="32" t="inlineStr">
        <is>
          <t>Duration Numerator</t>
        </is>
      </c>
      <c r="H126" s="33">
        <f>(1/Inputs!C8)*G5/G125+(2/Inputs!C8)*G6/G125+(3/Inputs!C8)*G7/G125+(4/Inputs!C8)*G8/G125+(5/Inputs!C8)*G9/G125+(6/Inputs!C8)*G10/G125+(7/Inputs!C8)*G11/G125+(8/Inputs!C8)*G12/G125+(9/Inputs!C8)*G13/G125+(10/Inputs!C8)*G14/G125+(11/Inputs!C8)*G15/G125+(12/Inputs!C8)*G16/G125+(13/Inputs!C8)*G17/G125+(14/Inputs!C8)*G18/G125+(15/Inputs!C8)*G19/G125+(16/Inputs!C8)*G20/G125+(17/Inputs!C8)*G21/G125+(18/Inputs!C8)*G22/G125+(19/Inputs!C8)*G23/G125+(20/Inputs!C8)*G24/G125+(21/Inputs!C8)*G25/G125+(22/Inputs!C8)*G26/G125+(23/Inputs!C8)*G27/G125+(24/Inputs!C8)*G28/G125+(25/Inputs!C8)*G29/G125+(26/Inputs!C8)*G30/G125+(27/Inputs!C8)*G31/G125+(28/Inputs!C8)*G32/G125+(29/Inputs!C8)*G33/G125+(30/Inputs!C8)*G34/G125+(31/Inputs!C8)*G35/G125+(32/Inputs!C8)*G36/G125+(33/Inputs!C8)*G37/G125+(34/Inputs!C8)*G38/G125+(35/Inputs!C8)*G39/G125+(36/Inputs!C8)*G40/G125+(37/Inputs!C8)*G41/G125+(38/Inputs!C8)*G42/G125+(39/Inputs!C8)*G43/G125+(40/Inputs!C8)*G44/G125+(41/Inputs!C8)*G45/G125+(42/Inputs!C8)*G46/G125+(43/Inputs!C8)*G47/G125+(44/Inputs!C8)*G48/G125+(45/Inputs!C8)*G49/G125+(46/Inputs!C8)*G50/G125+(47/Inputs!C8)*G51/G125+(48/Inputs!C8)*G52/G125+(49/Inputs!C8)*G53/G125+(50/Inputs!C8)*G54/G125+(51/Inputs!C8)*G55/G125+(52/Inputs!C8)*G56/G125+(53/Inputs!C8)*G57/G125+(54/Inputs!C8)*G58/G125+(55/Inputs!C8)*G59/G125+(56/Inputs!C8)*G60/G125+(57/Inputs!C8)*G61/G125+(58/Inputs!C8)*G62/G125+(59/Inputs!C8)*G63/G125+(60/Inputs!C8)*G64/G125+(61/Inputs!C8)*G65/G125+(62/Inputs!C8)*G66/G125+(63/Inputs!C8)*G67/G125+(64/Inputs!C8)*G68/G125+(65/Inputs!C8)*G69/G125+(66/Inputs!C8)*G70/G125+(67/Inputs!C8)*G71/G125+(68/Inputs!C8)*G72/G125+(69/Inputs!C8)*G73/G125+(70/Inputs!C8)*G74/G125+(71/Inputs!C8)*G75/G125+(72/Inputs!C8)*G76/G125+(73/Inputs!C8)*G77/G125+(74/Inputs!C8)*G78/G125+(75/Inputs!C8)*G79/G125+(76/Inputs!C8)*G80/G125+(77/Inputs!C8)*G81/G125+(78/Inputs!C8)*G82/G125+(79/Inputs!C8)*G83/G125+(80/Inputs!C8)*G84/G125+(81/Inputs!C8)*G85/G125+(82/Inputs!C8)*G86/G125+(83/Inputs!C8)*G87/G125+(84/Inputs!C8)*G88/G125+(85/Inputs!C8)*G89/G125+(86/Inputs!C8)*G90/G125+(87/Inputs!C8)*G91/G125+(88/Inputs!C8)*G92/G125+(89/Inputs!C8)*G93/G125+(90/Inputs!C8)*G94/G125+(91/Inputs!C8)*G95/G125+(92/Inputs!C8)*G96/G125+(93/Inputs!C8)*G97/G125+(94/Inputs!C8)*G98/G125+(95/Inputs!C8)*G99/G125+(96/Inputs!C8)*G100/G125+(97/Inputs!C8)*G101/G125+(98/Inputs!C8)*G102/G125+(99/Inputs!C8)*G103/G125+(100/Inputs!C8)*G104/G125+(101/Inputs!C8)*G105/G125+(102/Inputs!C8)*G106/G125+(103/Inputs!C8)*G107/G125+(104/Inputs!C8)*G108/G125+(105/Inputs!C8)*G109/G125+(106/Inputs!C8)*G110/G125+(107/Inputs!C8)*G111/G125+(108/Inputs!C8)*G112/G125+(109/Inputs!C8)*G113/G125+(110/Inputs!C8)*G114/G125+(111/Inputs!C8)*G115/G125+(112/Inputs!C8)*G116/G125+(113/Inputs!C8)*G117/G125+(114/Inputs!C8)*G118/G125+(115/Inputs!C8)*G119/G125+(116/Inputs!C8)*G120/G125+(117/Inputs!C8)*G121/G125+(118/Inputs!C8)*G122/G125+(119/Inputs!C8)*G123/G125+(120/Inputs!C8)*G124/G125</f>
        <v/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20" customWidth="1" min="3" max="3"/>
    <col width="35" customWidth="1" min="4" max="4"/>
  </cols>
  <sheetData>
    <row r="1" ht="34" customHeight="1">
      <c r="B1" s="34" t="inlineStr">
        <is>
          <t>DURATION &amp; RISK METRICS — LIVE OUTPUTS</t>
        </is>
      </c>
    </row>
    <row r="2">
      <c r="B2" s="2" t="inlineStr">
        <is>
          <t>All values update automatically when Inputs are changed</t>
        </is>
      </c>
    </row>
    <row r="3" ht="10" customHeight="1"/>
    <row r="4" ht="22" customHeight="1">
      <c r="B4" s="19" t="inlineStr">
        <is>
          <t>METRIC</t>
        </is>
      </c>
      <c r="C4" s="19" t="inlineStr">
        <is>
          <t>VALUE</t>
        </is>
      </c>
      <c r="D4" s="19" t="inlineStr">
        <is>
          <t>FORMULA / NOTES</t>
        </is>
      </c>
    </row>
    <row r="5">
      <c r="B5" s="21" t="n"/>
      <c r="C5" s="21" t="n"/>
      <c r="D5" s="21" t="n"/>
    </row>
    <row r="6" ht="22" customHeight="1">
      <c r="B6" s="35" t="inlineStr">
        <is>
          <t>Number of Periods</t>
        </is>
      </c>
      <c r="C6" s="36">
        <f>Inputs!C10*Inputs!C8</f>
        <v/>
      </c>
      <c r="D6" s="37" t="inlineStr">
        <is>
          <t>Tenor × Frequency</t>
        </is>
      </c>
    </row>
    <row r="7" ht="22" customHeight="1">
      <c r="B7" s="35" t="inlineStr">
        <is>
          <t>Periodic Coupon Amount (₹ Cr)</t>
        </is>
      </c>
      <c r="C7" s="38">
        <f>Inputs!C6*Inputs!C7/Inputs!C8</f>
        <v/>
      </c>
      <c r="D7" s="37" t="inlineStr">
        <is>
          <t>Principal × Coupon Rate / Frequency</t>
        </is>
      </c>
    </row>
    <row r="8" ht="22" customHeight="1">
      <c r="B8" s="35" t="inlineStr">
        <is>
          <t>➤ Macaulay Duration (Years)</t>
        </is>
      </c>
      <c r="C8" s="39">
        <f>'Cash Flows'!I126</f>
        <v/>
      </c>
      <c r="D8" s="37" t="inlineStr">
        <is>
          <t>Weighted avg time to receive cash flows</t>
        </is>
      </c>
    </row>
    <row r="9" ht="22" customHeight="1">
      <c r="B9" s="35" t="inlineStr">
        <is>
          <t>Modified Duration (Years)</t>
        </is>
      </c>
      <c r="C9" s="39">
        <f>C8/(1+Inputs!C9/Inputs!C8)</f>
        <v/>
      </c>
      <c r="D9" s="37" t="inlineStr">
        <is>
          <t>Macaulay / (1 + y/f) — price sensitivity to yield</t>
        </is>
      </c>
    </row>
    <row r="10" ht="22" customHeight="1">
      <c r="B10" s="35" t="inlineStr">
        <is>
          <t>DV01 — ₹ Cr per basis point</t>
        </is>
      </c>
      <c r="C10" s="38">
        <f>(C9*Inputs!C6)/10000</f>
        <v/>
      </c>
      <c r="D10" s="37" t="inlineStr">
        <is>
          <t>Price change per 1bp yield increase</t>
        </is>
      </c>
    </row>
    <row r="11" ht="22" customHeight="1">
      <c r="B11" s="35" t="inlineStr">
        <is>
          <t>Convexity</t>
        </is>
      </c>
      <c r="C11" s="40">
        <f>((1+Inputs!C9/Inputs!C8)^2*C9/(Inputs!C9/Inputs!C8)^2)-((1+Inputs!C9/Inputs!C8)*Inputs!C9/Inputs!C8+1)/((Inputs!C9/Inputs!C8)^2*(1+Inputs!C9/Inputs!C8))</f>
        <v/>
      </c>
      <c r="D11" s="37" t="inlineStr">
        <is>
          <t>Second-order price sensitivity — for small yield changes</t>
        </is>
      </c>
    </row>
    <row r="12" ht="22" customHeight="1">
      <c r="B12" s="35" t="inlineStr">
        <is>
          <t>Price per ₹100 Face (₹)</t>
        </is>
      </c>
      <c r="C12" s="41">
        <f>SUMPRODUCT((1/(1+Inputs!C9/Inputs!C8)^ROW(INDIRECT("1:"&amp;Inputs!C8*Inputs!C10)))*(IF(ROW(INDIRECT("1:"&amp;Inputs!C8*Inputs!C10))&lt;Inputs!C8*Inputs!C10,Inputs!C6*Inputs!C7/Inputs!C8,Inputs!C6*Inputs!C7/Inputs!C8+Inputs!C6)))/(Inputs!C6*100))</f>
        <v/>
      </c>
      <c r="D12" s="37" t="inlineStr">
        <is>
          <t>Issue price / market price per ₹100 face value</t>
        </is>
      </c>
    </row>
    <row r="13" ht="22" customHeight="1">
      <c r="B13" s="35" t="inlineStr">
        <is>
          <t>Modified Duration × Face Value (₹ Cr)</t>
        </is>
      </c>
      <c r="C13" s="42">
        <f>C9*Inputs!C6</f>
        <v/>
      </c>
      <c r="D13" s="37" t="inlineStr">
        <is>
          <t>Duration × Notional — for hedging</t>
        </is>
      </c>
    </row>
    <row r="14" ht="22" customHeight="1">
      <c r="B14" s="35" t="inlineStr">
        <is>
          <t>Price Change per +100bp (₹ Cr)</t>
        </is>
      </c>
      <c r="C14" s="43">
        <f>-C9*Inputs!C6*0.01+C12*0.5*C11*0.0001</f>
        <v/>
      </c>
      <c r="D14" s="37" t="inlineStr">
        <is>
          <t>Approx price drop for 100bp yield rise (includes convexity)</t>
        </is>
      </c>
    </row>
    <row r="15" ht="22" customHeight="1">
      <c r="B15" s="35" t="inlineStr">
        <is>
          <t>Price Change per -100bp (₹ Cr)</t>
        </is>
      </c>
      <c r="C15" s="42">
        <f>C9*Inputs!C6*0.01+C12*0.5*C11*0.0001</f>
        <v/>
      </c>
      <c r="D15" s="37" t="inlineStr">
        <is>
          <t>Approx price rise for 100bp yield fall (includes convexity)</t>
        </is>
      </c>
    </row>
    <row r="16" ht="22" customHeight="1">
      <c r="B16" s="35" t="inlineStr">
        <is>
          <t>Annualised Cost (if borrowing — all-in %)</t>
        </is>
      </c>
      <c r="C16" s="44">
        <f>Inputs!C7+((100-C12)/C8)</f>
        <v/>
      </c>
      <c r="D16" s="37" t="inlineStr">
        <is>
          <t>Approx all-in cost if issued at discount/premium</t>
        </is>
      </c>
    </row>
    <row r="18" ht="30" customHeight="1">
      <c r="B18" s="3" t="inlineStr">
        <is>
          <t>KEY ASSUMPTIONS</t>
        </is>
      </c>
    </row>
    <row r="20" ht="18" customHeight="1">
      <c r="B20" s="45" t="inlineStr">
        <is>
          <t>✓ Flat yield curve — same yield used for all periods</t>
        </is>
      </c>
    </row>
    <row r="21" ht="18" customHeight="1">
      <c r="B21" s="45" t="inlineStr">
        <is>
          <t>✓ Coupon dates equally spaced at 1/f years</t>
        </is>
      </c>
    </row>
    <row r="22" ht="18" customHeight="1">
      <c r="B22" s="45" t="inlineStr">
        <is>
          <t>✓ No call/put options embedded (plain vanilla loan)</t>
        </is>
      </c>
    </row>
    <row r="23" ht="18" customHeight="1">
      <c r="B23" s="45" t="inlineStr">
        <is>
          <t>✓ Day count: 30/360 (change in CF sheet if ACT/ACT needed)</t>
        </is>
      </c>
    </row>
    <row r="24" ht="18" customHeight="1">
      <c r="B24" s="45" t="inlineStr">
        <is>
          <t>✓ Convexity formula: simplified approximation (Taylor series)</t>
        </is>
      </c>
    </row>
    <row r="26" ht="20" customHeight="1">
      <c r="B26" s="17" t="inlineStr">
        <is>
          <t>🔑 Green = Key duration metrics  |  Yellow = Derived / price metrics  |  Red = Downside sensitivity</t>
        </is>
      </c>
    </row>
  </sheetData>
  <mergeCells count="9">
    <mergeCell ref="B23:D23"/>
    <mergeCell ref="B1:D1"/>
    <mergeCell ref="B22:D22"/>
    <mergeCell ref="B26:D26"/>
    <mergeCell ref="B18:D18"/>
    <mergeCell ref="B21:D21"/>
    <mergeCell ref="B24:D24"/>
    <mergeCell ref="B2:D2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Q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</cols>
  <sheetData>
    <row r="1" ht="34" customHeight="1">
      <c r="B1" s="34" t="inlineStr">
        <is>
          <t>YIELD vs DURATION — SENSITIVITY TABLE</t>
        </is>
      </c>
    </row>
    <row r="2">
      <c r="B2" s="2" t="inlineStr">
        <is>
          <t>Rows = Yield scenarios (YTM)  |  Columns = Tenor scenarios (Years)  |  Values = Modified Duration in Years</t>
        </is>
      </c>
    </row>
    <row r="4" ht="22" customHeight="1">
      <c r="B4" s="46" t="inlineStr">
        <is>
          <t>Yield \ Tenor →</t>
        </is>
      </c>
      <c r="C4" s="19" t="inlineStr">
        <is>
          <t>1Y</t>
        </is>
      </c>
      <c r="D4" s="19" t="inlineStr">
        <is>
          <t>2Y</t>
        </is>
      </c>
      <c r="E4" s="19" t="inlineStr">
        <is>
          <t>3Y</t>
        </is>
      </c>
      <c r="F4" s="19" t="inlineStr">
        <is>
          <t>4Y</t>
        </is>
      </c>
      <c r="G4" s="19" t="inlineStr">
        <is>
          <t>5Y</t>
        </is>
      </c>
      <c r="H4" s="19" t="inlineStr">
        <is>
          <t>6Y</t>
        </is>
      </c>
      <c r="I4" s="19" t="inlineStr">
        <is>
          <t>7Y</t>
        </is>
      </c>
      <c r="J4" s="19" t="inlineStr">
        <is>
          <t>8Y</t>
        </is>
      </c>
      <c r="K4" s="19" t="inlineStr">
        <is>
          <t>9Y</t>
        </is>
      </c>
      <c r="L4" s="19" t="inlineStr">
        <is>
          <t>10Y</t>
        </is>
      </c>
      <c r="M4" s="19" t="inlineStr">
        <is>
          <t>11Y</t>
        </is>
      </c>
      <c r="N4" s="19" t="inlineStr">
        <is>
          <t>12Y</t>
        </is>
      </c>
      <c r="O4" s="19" t="inlineStr">
        <is>
          <t>13Y</t>
        </is>
      </c>
      <c r="P4" s="19" t="inlineStr">
        <is>
          <t>14Y</t>
        </is>
      </c>
      <c r="Q4" s="19" t="inlineStr">
        <is>
          <t>15Y</t>
        </is>
      </c>
    </row>
    <row r="5" ht="18" customHeight="1">
      <c r="B5" s="47" t="inlineStr">
        <is>
          <t>5.00%</t>
        </is>
      </c>
      <c r="C5" s="48">
        <f>IFERROR(1/(1+5.0/100),0)</f>
        <v/>
      </c>
      <c r="D5" s="48">
        <f>IFERROR(2/(1+5.0/100),0)</f>
        <v/>
      </c>
      <c r="E5" s="48">
        <f>IFERROR(3/(1+5.0/100),0)</f>
        <v/>
      </c>
      <c r="F5" s="48">
        <f>IFERROR(4/(1+5.0/100),0)</f>
        <v/>
      </c>
      <c r="G5" s="48">
        <f>IFERROR(5/(1+5.0/100),0)</f>
        <v/>
      </c>
      <c r="H5" s="48">
        <f>IFERROR(6/(1+5.0/100),0)</f>
        <v/>
      </c>
      <c r="I5" s="48">
        <f>IFERROR(7/(1+5.0/100),0)</f>
        <v/>
      </c>
      <c r="J5" s="48">
        <f>IFERROR(8/(1+5.0/100),0)</f>
        <v/>
      </c>
      <c r="K5" s="48">
        <f>IFERROR(9/(1+5.0/100),0)</f>
        <v/>
      </c>
      <c r="L5" s="48">
        <f>IFERROR(10/(1+5.0/100),0)</f>
        <v/>
      </c>
      <c r="M5" s="48">
        <f>IFERROR(11/(1+5.0/100),0)</f>
        <v/>
      </c>
      <c r="N5" s="48">
        <f>IFERROR(12/(1+5.0/100),0)</f>
        <v/>
      </c>
      <c r="O5" s="48">
        <f>IFERROR(13/(1+5.0/100),0)</f>
        <v/>
      </c>
      <c r="P5" s="48">
        <f>IFERROR(14/(1+5.0/100),0)</f>
        <v/>
      </c>
      <c r="Q5" s="48">
        <f>IFERROR(15/(1+5.0/100),0)</f>
        <v/>
      </c>
    </row>
    <row r="6" ht="18" customHeight="1">
      <c r="B6" s="47" t="inlineStr">
        <is>
          <t>5.25%</t>
        </is>
      </c>
      <c r="C6" s="49">
        <f>IFERROR(1/(1+5.25/100),0)</f>
        <v/>
      </c>
      <c r="D6" s="49">
        <f>IFERROR(2/(1+5.25/100),0)</f>
        <v/>
      </c>
      <c r="E6" s="49">
        <f>IFERROR(3/(1+5.25/100),0)</f>
        <v/>
      </c>
      <c r="F6" s="49">
        <f>IFERROR(4/(1+5.25/100),0)</f>
        <v/>
      </c>
      <c r="G6" s="49">
        <f>IFERROR(5/(1+5.25/100),0)</f>
        <v/>
      </c>
      <c r="H6" s="49">
        <f>IFERROR(6/(1+5.25/100),0)</f>
        <v/>
      </c>
      <c r="I6" s="49">
        <f>IFERROR(7/(1+5.25/100),0)</f>
        <v/>
      </c>
      <c r="J6" s="49">
        <f>IFERROR(8/(1+5.25/100),0)</f>
        <v/>
      </c>
      <c r="K6" s="49">
        <f>IFERROR(9/(1+5.25/100),0)</f>
        <v/>
      </c>
      <c r="L6" s="49">
        <f>IFERROR(10/(1+5.25/100),0)</f>
        <v/>
      </c>
      <c r="M6" s="49">
        <f>IFERROR(11/(1+5.25/100),0)</f>
        <v/>
      </c>
      <c r="N6" s="49">
        <f>IFERROR(12/(1+5.25/100),0)</f>
        <v/>
      </c>
      <c r="O6" s="49">
        <f>IFERROR(13/(1+5.25/100),0)</f>
        <v/>
      </c>
      <c r="P6" s="49">
        <f>IFERROR(14/(1+5.25/100),0)</f>
        <v/>
      </c>
      <c r="Q6" s="49">
        <f>IFERROR(15/(1+5.25/100),0)</f>
        <v/>
      </c>
    </row>
    <row r="7" ht="18" customHeight="1">
      <c r="B7" s="47" t="inlineStr">
        <is>
          <t>5.50%</t>
        </is>
      </c>
      <c r="C7" s="48">
        <f>IFERROR(1/(1+5.5/100),0)</f>
        <v/>
      </c>
      <c r="D7" s="48">
        <f>IFERROR(2/(1+5.5/100),0)</f>
        <v/>
      </c>
      <c r="E7" s="48">
        <f>IFERROR(3/(1+5.5/100),0)</f>
        <v/>
      </c>
      <c r="F7" s="48">
        <f>IFERROR(4/(1+5.5/100),0)</f>
        <v/>
      </c>
      <c r="G7" s="48">
        <f>IFERROR(5/(1+5.5/100),0)</f>
        <v/>
      </c>
      <c r="H7" s="48">
        <f>IFERROR(6/(1+5.5/100),0)</f>
        <v/>
      </c>
      <c r="I7" s="48">
        <f>IFERROR(7/(1+5.5/100),0)</f>
        <v/>
      </c>
      <c r="J7" s="48">
        <f>IFERROR(8/(1+5.5/100),0)</f>
        <v/>
      </c>
      <c r="K7" s="48">
        <f>IFERROR(9/(1+5.5/100),0)</f>
        <v/>
      </c>
      <c r="L7" s="48">
        <f>IFERROR(10/(1+5.5/100),0)</f>
        <v/>
      </c>
      <c r="M7" s="48">
        <f>IFERROR(11/(1+5.5/100),0)</f>
        <v/>
      </c>
      <c r="N7" s="48">
        <f>IFERROR(12/(1+5.5/100),0)</f>
        <v/>
      </c>
      <c r="O7" s="48">
        <f>IFERROR(13/(1+5.5/100),0)</f>
        <v/>
      </c>
      <c r="P7" s="48">
        <f>IFERROR(14/(1+5.5/100),0)</f>
        <v/>
      </c>
      <c r="Q7" s="48">
        <f>IFERROR(15/(1+5.5/100),0)</f>
        <v/>
      </c>
    </row>
    <row r="8" ht="18" customHeight="1">
      <c r="B8" s="47" t="inlineStr">
        <is>
          <t>5.75%</t>
        </is>
      </c>
      <c r="C8" s="49">
        <f>IFERROR(1/(1+5.75/100),0)</f>
        <v/>
      </c>
      <c r="D8" s="49">
        <f>IFERROR(2/(1+5.75/100),0)</f>
        <v/>
      </c>
      <c r="E8" s="49">
        <f>IFERROR(3/(1+5.75/100),0)</f>
        <v/>
      </c>
      <c r="F8" s="49">
        <f>IFERROR(4/(1+5.75/100),0)</f>
        <v/>
      </c>
      <c r="G8" s="49">
        <f>IFERROR(5/(1+5.75/100),0)</f>
        <v/>
      </c>
      <c r="H8" s="49">
        <f>IFERROR(6/(1+5.75/100),0)</f>
        <v/>
      </c>
      <c r="I8" s="49">
        <f>IFERROR(7/(1+5.75/100),0)</f>
        <v/>
      </c>
      <c r="J8" s="49">
        <f>IFERROR(8/(1+5.75/100),0)</f>
        <v/>
      </c>
      <c r="K8" s="49">
        <f>IFERROR(9/(1+5.75/100),0)</f>
        <v/>
      </c>
      <c r="L8" s="49">
        <f>IFERROR(10/(1+5.75/100),0)</f>
        <v/>
      </c>
      <c r="M8" s="49">
        <f>IFERROR(11/(1+5.75/100),0)</f>
        <v/>
      </c>
      <c r="N8" s="49">
        <f>IFERROR(12/(1+5.75/100),0)</f>
        <v/>
      </c>
      <c r="O8" s="49">
        <f>IFERROR(13/(1+5.75/100),0)</f>
        <v/>
      </c>
      <c r="P8" s="49">
        <f>IFERROR(14/(1+5.75/100),0)</f>
        <v/>
      </c>
      <c r="Q8" s="49">
        <f>IFERROR(15/(1+5.75/100),0)</f>
        <v/>
      </c>
    </row>
    <row r="9" ht="18" customHeight="1">
      <c r="B9" s="47" t="inlineStr">
        <is>
          <t>6.00%</t>
        </is>
      </c>
      <c r="C9" s="48">
        <f>IFERROR(1/(1+6.0/100),0)</f>
        <v/>
      </c>
      <c r="D9" s="48">
        <f>IFERROR(2/(1+6.0/100),0)</f>
        <v/>
      </c>
      <c r="E9" s="48">
        <f>IFERROR(3/(1+6.0/100),0)</f>
        <v/>
      </c>
      <c r="F9" s="48">
        <f>IFERROR(4/(1+6.0/100),0)</f>
        <v/>
      </c>
      <c r="G9" s="48">
        <f>IFERROR(5/(1+6.0/100),0)</f>
        <v/>
      </c>
      <c r="H9" s="48">
        <f>IFERROR(6/(1+6.0/100),0)</f>
        <v/>
      </c>
      <c r="I9" s="48">
        <f>IFERROR(7/(1+6.0/100),0)</f>
        <v/>
      </c>
      <c r="J9" s="48">
        <f>IFERROR(8/(1+6.0/100),0)</f>
        <v/>
      </c>
      <c r="K9" s="48">
        <f>IFERROR(9/(1+6.0/100),0)</f>
        <v/>
      </c>
      <c r="L9" s="48">
        <f>IFERROR(10/(1+6.0/100),0)</f>
        <v/>
      </c>
      <c r="M9" s="48">
        <f>IFERROR(11/(1+6.0/100),0)</f>
        <v/>
      </c>
      <c r="N9" s="48">
        <f>IFERROR(12/(1+6.0/100),0)</f>
        <v/>
      </c>
      <c r="O9" s="48">
        <f>IFERROR(13/(1+6.0/100),0)</f>
        <v/>
      </c>
      <c r="P9" s="48">
        <f>IFERROR(14/(1+6.0/100),0)</f>
        <v/>
      </c>
      <c r="Q9" s="48">
        <f>IFERROR(15/(1+6.0/100),0)</f>
        <v/>
      </c>
    </row>
    <row r="10" ht="18" customHeight="1">
      <c r="B10" s="47" t="inlineStr">
        <is>
          <t>6.25%</t>
        </is>
      </c>
      <c r="C10" s="49">
        <f>IFERROR(1/(1+6.25/100),0)</f>
        <v/>
      </c>
      <c r="D10" s="49">
        <f>IFERROR(2/(1+6.25/100),0)</f>
        <v/>
      </c>
      <c r="E10" s="49">
        <f>IFERROR(3/(1+6.25/100),0)</f>
        <v/>
      </c>
      <c r="F10" s="49">
        <f>IFERROR(4/(1+6.25/100),0)</f>
        <v/>
      </c>
      <c r="G10" s="49">
        <f>IFERROR(5/(1+6.25/100),0)</f>
        <v/>
      </c>
      <c r="H10" s="49">
        <f>IFERROR(6/(1+6.25/100),0)</f>
        <v/>
      </c>
      <c r="I10" s="49">
        <f>IFERROR(7/(1+6.25/100),0)</f>
        <v/>
      </c>
      <c r="J10" s="49">
        <f>IFERROR(8/(1+6.25/100),0)</f>
        <v/>
      </c>
      <c r="K10" s="49">
        <f>IFERROR(9/(1+6.25/100),0)</f>
        <v/>
      </c>
      <c r="L10" s="49">
        <f>IFERROR(10/(1+6.25/100),0)</f>
        <v/>
      </c>
      <c r="M10" s="49">
        <f>IFERROR(11/(1+6.25/100),0)</f>
        <v/>
      </c>
      <c r="N10" s="49">
        <f>IFERROR(12/(1+6.25/100),0)</f>
        <v/>
      </c>
      <c r="O10" s="49">
        <f>IFERROR(13/(1+6.25/100),0)</f>
        <v/>
      </c>
      <c r="P10" s="49">
        <f>IFERROR(14/(1+6.25/100),0)</f>
        <v/>
      </c>
      <c r="Q10" s="49">
        <f>IFERROR(15/(1+6.25/100),0)</f>
        <v/>
      </c>
    </row>
    <row r="11" ht="18" customHeight="1">
      <c r="B11" s="47" t="inlineStr">
        <is>
          <t>6.50%</t>
        </is>
      </c>
      <c r="C11" s="48">
        <f>IFERROR(1/(1+6.5/100),0)</f>
        <v/>
      </c>
      <c r="D11" s="48">
        <f>IFERROR(2/(1+6.5/100),0)</f>
        <v/>
      </c>
      <c r="E11" s="48">
        <f>IFERROR(3/(1+6.5/100),0)</f>
        <v/>
      </c>
      <c r="F11" s="48">
        <f>IFERROR(4/(1+6.5/100),0)</f>
        <v/>
      </c>
      <c r="G11" s="48">
        <f>IFERROR(5/(1+6.5/100),0)</f>
        <v/>
      </c>
      <c r="H11" s="48">
        <f>IFERROR(6/(1+6.5/100),0)</f>
        <v/>
      </c>
      <c r="I11" s="48">
        <f>IFERROR(7/(1+6.5/100),0)</f>
        <v/>
      </c>
      <c r="J11" s="48">
        <f>IFERROR(8/(1+6.5/100),0)</f>
        <v/>
      </c>
      <c r="K11" s="48">
        <f>IFERROR(9/(1+6.5/100),0)</f>
        <v/>
      </c>
      <c r="L11" s="48">
        <f>IFERROR(10/(1+6.5/100),0)</f>
        <v/>
      </c>
      <c r="M11" s="48">
        <f>IFERROR(11/(1+6.5/100),0)</f>
        <v/>
      </c>
      <c r="N11" s="48">
        <f>IFERROR(12/(1+6.5/100),0)</f>
        <v/>
      </c>
      <c r="O11" s="48">
        <f>IFERROR(13/(1+6.5/100),0)</f>
        <v/>
      </c>
      <c r="P11" s="48">
        <f>IFERROR(14/(1+6.5/100),0)</f>
        <v/>
      </c>
      <c r="Q11" s="48">
        <f>IFERROR(15/(1+6.5/100),0)</f>
        <v/>
      </c>
    </row>
    <row r="12" ht="18" customHeight="1">
      <c r="B12" s="47" t="inlineStr">
        <is>
          <t>6.75%</t>
        </is>
      </c>
      <c r="C12" s="49">
        <f>IFERROR(1/(1+6.75/100),0)</f>
        <v/>
      </c>
      <c r="D12" s="49">
        <f>IFERROR(2/(1+6.75/100),0)</f>
        <v/>
      </c>
      <c r="E12" s="49">
        <f>IFERROR(3/(1+6.75/100),0)</f>
        <v/>
      </c>
      <c r="F12" s="49">
        <f>IFERROR(4/(1+6.75/100),0)</f>
        <v/>
      </c>
      <c r="G12" s="49">
        <f>IFERROR(5/(1+6.75/100),0)</f>
        <v/>
      </c>
      <c r="H12" s="49">
        <f>IFERROR(6/(1+6.75/100),0)</f>
        <v/>
      </c>
      <c r="I12" s="49">
        <f>IFERROR(7/(1+6.75/100),0)</f>
        <v/>
      </c>
      <c r="J12" s="49">
        <f>IFERROR(8/(1+6.75/100),0)</f>
        <v/>
      </c>
      <c r="K12" s="49">
        <f>IFERROR(9/(1+6.75/100),0)</f>
        <v/>
      </c>
      <c r="L12" s="49">
        <f>IFERROR(10/(1+6.75/100),0)</f>
        <v/>
      </c>
      <c r="M12" s="49">
        <f>IFERROR(11/(1+6.75/100),0)</f>
        <v/>
      </c>
      <c r="N12" s="49">
        <f>IFERROR(12/(1+6.75/100),0)</f>
        <v/>
      </c>
      <c r="O12" s="49">
        <f>IFERROR(13/(1+6.75/100),0)</f>
        <v/>
      </c>
      <c r="P12" s="49">
        <f>IFERROR(14/(1+6.75/100),0)</f>
        <v/>
      </c>
      <c r="Q12" s="49">
        <f>IFERROR(15/(1+6.75/100),0)</f>
        <v/>
      </c>
    </row>
    <row r="13" ht="18" customHeight="1">
      <c r="B13" s="47" t="inlineStr">
        <is>
          <t>7.00%</t>
        </is>
      </c>
      <c r="C13" s="48">
        <f>IFERROR(1/(1+7.0/100),0)</f>
        <v/>
      </c>
      <c r="D13" s="48">
        <f>IFERROR(2/(1+7.0/100),0)</f>
        <v/>
      </c>
      <c r="E13" s="48">
        <f>IFERROR(3/(1+7.0/100),0)</f>
        <v/>
      </c>
      <c r="F13" s="48">
        <f>IFERROR(4/(1+7.0/100),0)</f>
        <v/>
      </c>
      <c r="G13" s="48">
        <f>IFERROR(5/(1+7.0/100),0)</f>
        <v/>
      </c>
      <c r="H13" s="48">
        <f>IFERROR(6/(1+7.0/100),0)</f>
        <v/>
      </c>
      <c r="I13" s="48">
        <f>IFERROR(7/(1+7.0/100),0)</f>
        <v/>
      </c>
      <c r="J13" s="48">
        <f>IFERROR(8/(1+7.0/100),0)</f>
        <v/>
      </c>
      <c r="K13" s="48">
        <f>IFERROR(9/(1+7.0/100),0)</f>
        <v/>
      </c>
      <c r="L13" s="48">
        <f>IFERROR(10/(1+7.0/100),0)</f>
        <v/>
      </c>
      <c r="M13" s="48">
        <f>IFERROR(11/(1+7.0/100),0)</f>
        <v/>
      </c>
      <c r="N13" s="48">
        <f>IFERROR(12/(1+7.0/100),0)</f>
        <v/>
      </c>
      <c r="O13" s="48">
        <f>IFERROR(13/(1+7.0/100),0)</f>
        <v/>
      </c>
      <c r="P13" s="48">
        <f>IFERROR(14/(1+7.0/100),0)</f>
        <v/>
      </c>
      <c r="Q13" s="48">
        <f>IFERROR(15/(1+7.0/100),0)</f>
        <v/>
      </c>
    </row>
    <row r="14" ht="18" customHeight="1">
      <c r="B14" s="47" t="inlineStr">
        <is>
          <t>7.25%</t>
        </is>
      </c>
      <c r="C14" s="49">
        <f>IFERROR(1/(1+7.25/100),0)</f>
        <v/>
      </c>
      <c r="D14" s="49">
        <f>IFERROR(2/(1+7.25/100),0)</f>
        <v/>
      </c>
      <c r="E14" s="49">
        <f>IFERROR(3/(1+7.25/100),0)</f>
        <v/>
      </c>
      <c r="F14" s="49">
        <f>IFERROR(4/(1+7.25/100),0)</f>
        <v/>
      </c>
      <c r="G14" s="49">
        <f>IFERROR(5/(1+7.25/100),0)</f>
        <v/>
      </c>
      <c r="H14" s="49">
        <f>IFERROR(6/(1+7.25/100),0)</f>
        <v/>
      </c>
      <c r="I14" s="49">
        <f>IFERROR(7/(1+7.25/100),0)</f>
        <v/>
      </c>
      <c r="J14" s="49">
        <f>IFERROR(8/(1+7.25/100),0)</f>
        <v/>
      </c>
      <c r="K14" s="49">
        <f>IFERROR(9/(1+7.25/100),0)</f>
        <v/>
      </c>
      <c r="L14" s="49">
        <f>IFERROR(10/(1+7.25/100),0)</f>
        <v/>
      </c>
      <c r="M14" s="49">
        <f>IFERROR(11/(1+7.25/100),0)</f>
        <v/>
      </c>
      <c r="N14" s="49">
        <f>IFERROR(12/(1+7.25/100),0)</f>
        <v/>
      </c>
      <c r="O14" s="49">
        <f>IFERROR(13/(1+7.25/100),0)</f>
        <v/>
      </c>
      <c r="P14" s="49">
        <f>IFERROR(14/(1+7.25/100),0)</f>
        <v/>
      </c>
      <c r="Q14" s="49">
        <f>IFERROR(15/(1+7.25/100),0)</f>
        <v/>
      </c>
    </row>
    <row r="15" ht="18" customHeight="1">
      <c r="B15" s="47" t="inlineStr">
        <is>
          <t>7.50%</t>
        </is>
      </c>
      <c r="C15" s="48">
        <f>IFERROR(1/(1+7.5/100),0)</f>
        <v/>
      </c>
      <c r="D15" s="48">
        <f>IFERROR(2/(1+7.5/100),0)</f>
        <v/>
      </c>
      <c r="E15" s="48">
        <f>IFERROR(3/(1+7.5/100),0)</f>
        <v/>
      </c>
      <c r="F15" s="48">
        <f>IFERROR(4/(1+7.5/100),0)</f>
        <v/>
      </c>
      <c r="G15" s="48">
        <f>IFERROR(5/(1+7.5/100),0)</f>
        <v/>
      </c>
      <c r="H15" s="48">
        <f>IFERROR(6/(1+7.5/100),0)</f>
        <v/>
      </c>
      <c r="I15" s="48">
        <f>IFERROR(7/(1+7.5/100),0)</f>
        <v/>
      </c>
      <c r="J15" s="48">
        <f>IFERROR(8/(1+7.5/100),0)</f>
        <v/>
      </c>
      <c r="K15" s="48">
        <f>IFERROR(9/(1+7.5/100),0)</f>
        <v/>
      </c>
      <c r="L15" s="48">
        <f>IFERROR(10/(1+7.5/100),0)</f>
        <v/>
      </c>
      <c r="M15" s="48">
        <f>IFERROR(11/(1+7.5/100),0)</f>
        <v/>
      </c>
      <c r="N15" s="48">
        <f>IFERROR(12/(1+7.5/100),0)</f>
        <v/>
      </c>
      <c r="O15" s="48">
        <f>IFERROR(13/(1+7.5/100),0)</f>
        <v/>
      </c>
      <c r="P15" s="48">
        <f>IFERROR(14/(1+7.5/100),0)</f>
        <v/>
      </c>
      <c r="Q15" s="48">
        <f>IFERROR(15/(1+7.5/100),0)</f>
        <v/>
      </c>
    </row>
    <row r="16" ht="18" customHeight="1">
      <c r="B16" s="47" t="inlineStr">
        <is>
          <t>7.75%</t>
        </is>
      </c>
      <c r="C16" s="49">
        <f>IFERROR(1/(1+7.75/100),0)</f>
        <v/>
      </c>
      <c r="D16" s="49">
        <f>IFERROR(2/(1+7.75/100),0)</f>
        <v/>
      </c>
      <c r="E16" s="49">
        <f>IFERROR(3/(1+7.75/100),0)</f>
        <v/>
      </c>
      <c r="F16" s="49">
        <f>IFERROR(4/(1+7.75/100),0)</f>
        <v/>
      </c>
      <c r="G16" s="49">
        <f>IFERROR(5/(1+7.75/100),0)</f>
        <v/>
      </c>
      <c r="H16" s="49">
        <f>IFERROR(6/(1+7.75/100),0)</f>
        <v/>
      </c>
      <c r="I16" s="49">
        <f>IFERROR(7/(1+7.75/100),0)</f>
        <v/>
      </c>
      <c r="J16" s="49">
        <f>IFERROR(8/(1+7.75/100),0)</f>
        <v/>
      </c>
      <c r="K16" s="49">
        <f>IFERROR(9/(1+7.75/100),0)</f>
        <v/>
      </c>
      <c r="L16" s="49">
        <f>IFERROR(10/(1+7.75/100),0)</f>
        <v/>
      </c>
      <c r="M16" s="49">
        <f>IFERROR(11/(1+7.75/100),0)</f>
        <v/>
      </c>
      <c r="N16" s="49">
        <f>IFERROR(12/(1+7.75/100),0)</f>
        <v/>
      </c>
      <c r="O16" s="49">
        <f>IFERROR(13/(1+7.75/100),0)</f>
        <v/>
      </c>
      <c r="P16" s="49">
        <f>IFERROR(14/(1+7.75/100),0)</f>
        <v/>
      </c>
      <c r="Q16" s="49">
        <f>IFERROR(15/(1+7.75/100),0)</f>
        <v/>
      </c>
    </row>
    <row r="17" ht="18" customHeight="1">
      <c r="B17" s="47" t="inlineStr">
        <is>
          <t>8.00%</t>
        </is>
      </c>
      <c r="C17" s="48">
        <f>IFERROR(1/(1+8.0/100),0)</f>
        <v/>
      </c>
      <c r="D17" s="48">
        <f>IFERROR(2/(1+8.0/100),0)</f>
        <v/>
      </c>
      <c r="E17" s="48">
        <f>IFERROR(3/(1+8.0/100),0)</f>
        <v/>
      </c>
      <c r="F17" s="48">
        <f>IFERROR(4/(1+8.0/100),0)</f>
        <v/>
      </c>
      <c r="G17" s="48">
        <f>IFERROR(5/(1+8.0/100),0)</f>
        <v/>
      </c>
      <c r="H17" s="48">
        <f>IFERROR(6/(1+8.0/100),0)</f>
        <v/>
      </c>
      <c r="I17" s="48">
        <f>IFERROR(7/(1+8.0/100),0)</f>
        <v/>
      </c>
      <c r="J17" s="48">
        <f>IFERROR(8/(1+8.0/100),0)</f>
        <v/>
      </c>
      <c r="K17" s="48">
        <f>IFERROR(9/(1+8.0/100),0)</f>
        <v/>
      </c>
      <c r="L17" s="48">
        <f>IFERROR(10/(1+8.0/100),0)</f>
        <v/>
      </c>
      <c r="M17" s="48">
        <f>IFERROR(11/(1+8.0/100),0)</f>
        <v/>
      </c>
      <c r="N17" s="48">
        <f>IFERROR(12/(1+8.0/100),0)</f>
        <v/>
      </c>
      <c r="O17" s="48">
        <f>IFERROR(13/(1+8.0/100),0)</f>
        <v/>
      </c>
      <c r="P17" s="48">
        <f>IFERROR(14/(1+8.0/100),0)</f>
        <v/>
      </c>
      <c r="Q17" s="48">
        <f>IFERROR(15/(1+8.0/100),0)</f>
        <v/>
      </c>
    </row>
    <row r="18" ht="18" customHeight="1">
      <c r="B18" s="47" t="inlineStr">
        <is>
          <t>8.25%</t>
        </is>
      </c>
      <c r="C18" s="49">
        <f>IFERROR(1/(1+8.25/100),0)</f>
        <v/>
      </c>
      <c r="D18" s="49">
        <f>IFERROR(2/(1+8.25/100),0)</f>
        <v/>
      </c>
      <c r="E18" s="49">
        <f>IFERROR(3/(1+8.25/100),0)</f>
        <v/>
      </c>
      <c r="F18" s="49">
        <f>IFERROR(4/(1+8.25/100),0)</f>
        <v/>
      </c>
      <c r="G18" s="49">
        <f>IFERROR(5/(1+8.25/100),0)</f>
        <v/>
      </c>
      <c r="H18" s="49">
        <f>IFERROR(6/(1+8.25/100),0)</f>
        <v/>
      </c>
      <c r="I18" s="49">
        <f>IFERROR(7/(1+8.25/100),0)</f>
        <v/>
      </c>
      <c r="J18" s="49">
        <f>IFERROR(8/(1+8.25/100),0)</f>
        <v/>
      </c>
      <c r="K18" s="49">
        <f>IFERROR(9/(1+8.25/100),0)</f>
        <v/>
      </c>
      <c r="L18" s="49">
        <f>IFERROR(10/(1+8.25/100),0)</f>
        <v/>
      </c>
      <c r="M18" s="49">
        <f>IFERROR(11/(1+8.25/100),0)</f>
        <v/>
      </c>
      <c r="N18" s="49">
        <f>IFERROR(12/(1+8.25/100),0)</f>
        <v/>
      </c>
      <c r="O18" s="49">
        <f>IFERROR(13/(1+8.25/100),0)</f>
        <v/>
      </c>
      <c r="P18" s="49">
        <f>IFERROR(14/(1+8.25/100),0)</f>
        <v/>
      </c>
      <c r="Q18" s="49">
        <f>IFERROR(15/(1+8.25/100),0)</f>
        <v/>
      </c>
    </row>
    <row r="19" ht="18" customHeight="1">
      <c r="B19" s="47" t="inlineStr">
        <is>
          <t>8.50%</t>
        </is>
      </c>
      <c r="C19" s="48">
        <f>IFERROR(1/(1+8.5/100),0)</f>
        <v/>
      </c>
      <c r="D19" s="48">
        <f>IFERROR(2/(1+8.5/100),0)</f>
        <v/>
      </c>
      <c r="E19" s="48">
        <f>IFERROR(3/(1+8.5/100),0)</f>
        <v/>
      </c>
      <c r="F19" s="48">
        <f>IFERROR(4/(1+8.5/100),0)</f>
        <v/>
      </c>
      <c r="G19" s="48">
        <f>IFERROR(5/(1+8.5/100),0)</f>
        <v/>
      </c>
      <c r="H19" s="48">
        <f>IFERROR(6/(1+8.5/100),0)</f>
        <v/>
      </c>
      <c r="I19" s="48">
        <f>IFERROR(7/(1+8.5/100),0)</f>
        <v/>
      </c>
      <c r="J19" s="48">
        <f>IFERROR(8/(1+8.5/100),0)</f>
        <v/>
      </c>
      <c r="K19" s="48">
        <f>IFERROR(9/(1+8.5/100),0)</f>
        <v/>
      </c>
      <c r="L19" s="48">
        <f>IFERROR(10/(1+8.5/100),0)</f>
        <v/>
      </c>
      <c r="M19" s="48">
        <f>IFERROR(11/(1+8.5/100),0)</f>
        <v/>
      </c>
      <c r="N19" s="48">
        <f>IFERROR(12/(1+8.5/100),0)</f>
        <v/>
      </c>
      <c r="O19" s="48">
        <f>IFERROR(13/(1+8.5/100),0)</f>
        <v/>
      </c>
      <c r="P19" s="48">
        <f>IFERROR(14/(1+8.5/100),0)</f>
        <v/>
      </c>
      <c r="Q19" s="48">
        <f>IFERROR(15/(1+8.5/100),0)</f>
        <v/>
      </c>
    </row>
    <row r="20" ht="18" customHeight="1">
      <c r="B20" s="50" t="inlineStr">
        <is>
          <t>8.75%</t>
        </is>
      </c>
      <c r="C20" s="51">
        <f>IFERROR(1/(1+8.75/100),0)</f>
        <v/>
      </c>
      <c r="D20" s="51">
        <f>IFERROR(2/(1+8.75/100),0)</f>
        <v/>
      </c>
      <c r="E20" s="51">
        <f>IFERROR(3/(1+8.75/100),0)</f>
        <v/>
      </c>
      <c r="F20" s="51">
        <f>IFERROR(4/(1+8.75/100),0)</f>
        <v/>
      </c>
      <c r="G20" s="51">
        <f>IFERROR(5/(1+8.75/100),0)</f>
        <v/>
      </c>
      <c r="H20" s="51">
        <f>IFERROR(6/(1+8.75/100),0)</f>
        <v/>
      </c>
      <c r="I20" s="51">
        <f>IFERROR(7/(1+8.75/100),0)</f>
        <v/>
      </c>
      <c r="J20" s="51">
        <f>IFERROR(8/(1+8.75/100),0)</f>
        <v/>
      </c>
      <c r="K20" s="51">
        <f>IFERROR(9/(1+8.75/100),0)</f>
        <v/>
      </c>
      <c r="L20" s="51">
        <f>IFERROR(10/(1+8.75/100),0)</f>
        <v/>
      </c>
      <c r="M20" s="51">
        <f>IFERROR(11/(1+8.75/100),0)</f>
        <v/>
      </c>
      <c r="N20" s="51">
        <f>IFERROR(12/(1+8.75/100),0)</f>
        <v/>
      </c>
      <c r="O20" s="51">
        <f>IFERROR(13/(1+8.75/100),0)</f>
        <v/>
      </c>
      <c r="P20" s="51">
        <f>IFERROR(14/(1+8.75/100),0)</f>
        <v/>
      </c>
      <c r="Q20" s="51">
        <f>IFERROR(15/(1+8.75/100),0)</f>
        <v/>
      </c>
    </row>
    <row r="21" ht="18" customHeight="1">
      <c r="B21" s="47" t="inlineStr">
        <is>
          <t>9.00%</t>
        </is>
      </c>
      <c r="C21" s="48">
        <f>IFERROR(1/(1+9.0/100),0)</f>
        <v/>
      </c>
      <c r="D21" s="48">
        <f>IFERROR(2/(1+9.0/100),0)</f>
        <v/>
      </c>
      <c r="E21" s="48">
        <f>IFERROR(3/(1+9.0/100),0)</f>
        <v/>
      </c>
      <c r="F21" s="48">
        <f>IFERROR(4/(1+9.0/100),0)</f>
        <v/>
      </c>
      <c r="G21" s="48">
        <f>IFERROR(5/(1+9.0/100),0)</f>
        <v/>
      </c>
      <c r="H21" s="48">
        <f>IFERROR(6/(1+9.0/100),0)</f>
        <v/>
      </c>
      <c r="I21" s="48">
        <f>IFERROR(7/(1+9.0/100),0)</f>
        <v/>
      </c>
      <c r="J21" s="48">
        <f>IFERROR(8/(1+9.0/100),0)</f>
        <v/>
      </c>
      <c r="K21" s="48">
        <f>IFERROR(9/(1+9.0/100),0)</f>
        <v/>
      </c>
      <c r="L21" s="48">
        <f>IFERROR(10/(1+9.0/100),0)</f>
        <v/>
      </c>
      <c r="M21" s="48">
        <f>IFERROR(11/(1+9.0/100),0)</f>
        <v/>
      </c>
      <c r="N21" s="48">
        <f>IFERROR(12/(1+9.0/100),0)</f>
        <v/>
      </c>
      <c r="O21" s="48">
        <f>IFERROR(13/(1+9.0/100),0)</f>
        <v/>
      </c>
      <c r="P21" s="48">
        <f>IFERROR(14/(1+9.0/100),0)</f>
        <v/>
      </c>
      <c r="Q21" s="48">
        <f>IFERROR(15/(1+9.0/100),0)</f>
        <v/>
      </c>
    </row>
    <row r="22" ht="18" customHeight="1">
      <c r="B22" s="47" t="inlineStr">
        <is>
          <t>9.25%</t>
        </is>
      </c>
      <c r="C22" s="49">
        <f>IFERROR(1/(1+9.25/100),0)</f>
        <v/>
      </c>
      <c r="D22" s="49">
        <f>IFERROR(2/(1+9.25/100),0)</f>
        <v/>
      </c>
      <c r="E22" s="49">
        <f>IFERROR(3/(1+9.25/100),0)</f>
        <v/>
      </c>
      <c r="F22" s="49">
        <f>IFERROR(4/(1+9.25/100),0)</f>
        <v/>
      </c>
      <c r="G22" s="49">
        <f>IFERROR(5/(1+9.25/100),0)</f>
        <v/>
      </c>
      <c r="H22" s="49">
        <f>IFERROR(6/(1+9.25/100),0)</f>
        <v/>
      </c>
      <c r="I22" s="49">
        <f>IFERROR(7/(1+9.25/100),0)</f>
        <v/>
      </c>
      <c r="J22" s="49">
        <f>IFERROR(8/(1+9.25/100),0)</f>
        <v/>
      </c>
      <c r="K22" s="49">
        <f>IFERROR(9/(1+9.25/100),0)</f>
        <v/>
      </c>
      <c r="L22" s="49">
        <f>IFERROR(10/(1+9.25/100),0)</f>
        <v/>
      </c>
      <c r="M22" s="49">
        <f>IFERROR(11/(1+9.25/100),0)</f>
        <v/>
      </c>
      <c r="N22" s="49">
        <f>IFERROR(12/(1+9.25/100),0)</f>
        <v/>
      </c>
      <c r="O22" s="49">
        <f>IFERROR(13/(1+9.25/100),0)</f>
        <v/>
      </c>
      <c r="P22" s="49">
        <f>IFERROR(14/(1+9.25/100),0)</f>
        <v/>
      </c>
      <c r="Q22" s="49">
        <f>IFERROR(15/(1+9.25/100),0)</f>
        <v/>
      </c>
    </row>
    <row r="23" ht="18" customHeight="1">
      <c r="B23" s="47" t="inlineStr">
        <is>
          <t>9.50%</t>
        </is>
      </c>
      <c r="C23" s="48">
        <f>IFERROR(1/(1+9.5/100),0)</f>
        <v/>
      </c>
      <c r="D23" s="48">
        <f>IFERROR(2/(1+9.5/100),0)</f>
        <v/>
      </c>
      <c r="E23" s="48">
        <f>IFERROR(3/(1+9.5/100),0)</f>
        <v/>
      </c>
      <c r="F23" s="48">
        <f>IFERROR(4/(1+9.5/100),0)</f>
        <v/>
      </c>
      <c r="G23" s="48">
        <f>IFERROR(5/(1+9.5/100),0)</f>
        <v/>
      </c>
      <c r="H23" s="48">
        <f>IFERROR(6/(1+9.5/100),0)</f>
        <v/>
      </c>
      <c r="I23" s="48">
        <f>IFERROR(7/(1+9.5/100),0)</f>
        <v/>
      </c>
      <c r="J23" s="48">
        <f>IFERROR(8/(1+9.5/100),0)</f>
        <v/>
      </c>
      <c r="K23" s="48">
        <f>IFERROR(9/(1+9.5/100),0)</f>
        <v/>
      </c>
      <c r="L23" s="48">
        <f>IFERROR(10/(1+9.5/100),0)</f>
        <v/>
      </c>
      <c r="M23" s="48">
        <f>IFERROR(11/(1+9.5/100),0)</f>
        <v/>
      </c>
      <c r="N23" s="48">
        <f>IFERROR(12/(1+9.5/100),0)</f>
        <v/>
      </c>
      <c r="O23" s="48">
        <f>IFERROR(13/(1+9.5/100),0)</f>
        <v/>
      </c>
      <c r="P23" s="48">
        <f>IFERROR(14/(1+9.5/100),0)</f>
        <v/>
      </c>
      <c r="Q23" s="48">
        <f>IFERROR(15/(1+9.5/100),0)</f>
        <v/>
      </c>
    </row>
    <row r="24" ht="18" customHeight="1">
      <c r="B24" s="47" t="inlineStr">
        <is>
          <t>9.75%</t>
        </is>
      </c>
      <c r="C24" s="49">
        <f>IFERROR(1/(1+9.75/100),0)</f>
        <v/>
      </c>
      <c r="D24" s="49">
        <f>IFERROR(2/(1+9.75/100),0)</f>
        <v/>
      </c>
      <c r="E24" s="49">
        <f>IFERROR(3/(1+9.75/100),0)</f>
        <v/>
      </c>
      <c r="F24" s="49">
        <f>IFERROR(4/(1+9.75/100),0)</f>
        <v/>
      </c>
      <c r="G24" s="49">
        <f>IFERROR(5/(1+9.75/100),0)</f>
        <v/>
      </c>
      <c r="H24" s="49">
        <f>IFERROR(6/(1+9.75/100),0)</f>
        <v/>
      </c>
      <c r="I24" s="49">
        <f>IFERROR(7/(1+9.75/100),0)</f>
        <v/>
      </c>
      <c r="J24" s="49">
        <f>IFERROR(8/(1+9.75/100),0)</f>
        <v/>
      </c>
      <c r="K24" s="49">
        <f>IFERROR(9/(1+9.75/100),0)</f>
        <v/>
      </c>
      <c r="L24" s="49">
        <f>IFERROR(10/(1+9.75/100),0)</f>
        <v/>
      </c>
      <c r="M24" s="49">
        <f>IFERROR(11/(1+9.75/100),0)</f>
        <v/>
      </c>
      <c r="N24" s="49">
        <f>IFERROR(12/(1+9.75/100),0)</f>
        <v/>
      </c>
      <c r="O24" s="49">
        <f>IFERROR(13/(1+9.75/100),0)</f>
        <v/>
      </c>
      <c r="P24" s="49">
        <f>IFERROR(14/(1+9.75/100),0)</f>
        <v/>
      </c>
      <c r="Q24" s="49">
        <f>IFERROR(15/(1+9.75/100),0)</f>
        <v/>
      </c>
    </row>
    <row r="25" ht="18" customHeight="1">
      <c r="B25" s="47" t="inlineStr">
        <is>
          <t>10.00%</t>
        </is>
      </c>
      <c r="C25" s="48">
        <f>IFERROR(1/(1+10.0/100),0)</f>
        <v/>
      </c>
      <c r="D25" s="48">
        <f>IFERROR(2/(1+10.0/100),0)</f>
        <v/>
      </c>
      <c r="E25" s="48">
        <f>IFERROR(3/(1+10.0/100),0)</f>
        <v/>
      </c>
      <c r="F25" s="48">
        <f>IFERROR(4/(1+10.0/100),0)</f>
        <v/>
      </c>
      <c r="G25" s="48">
        <f>IFERROR(5/(1+10.0/100),0)</f>
        <v/>
      </c>
      <c r="H25" s="48">
        <f>IFERROR(6/(1+10.0/100),0)</f>
        <v/>
      </c>
      <c r="I25" s="48">
        <f>IFERROR(7/(1+10.0/100),0)</f>
        <v/>
      </c>
      <c r="J25" s="48">
        <f>IFERROR(8/(1+10.0/100),0)</f>
        <v/>
      </c>
      <c r="K25" s="48">
        <f>IFERROR(9/(1+10.0/100),0)</f>
        <v/>
      </c>
      <c r="L25" s="48">
        <f>IFERROR(10/(1+10.0/100),0)</f>
        <v/>
      </c>
      <c r="M25" s="48">
        <f>IFERROR(11/(1+10.0/100),0)</f>
        <v/>
      </c>
      <c r="N25" s="48">
        <f>IFERROR(12/(1+10.0/100),0)</f>
        <v/>
      </c>
      <c r="O25" s="48">
        <f>IFERROR(13/(1+10.0/100),0)</f>
        <v/>
      </c>
      <c r="P25" s="48">
        <f>IFERROR(14/(1+10.0/100),0)</f>
        <v/>
      </c>
      <c r="Q25" s="48">
        <f>IFERROR(15/(1+10.0/100),0)</f>
        <v/>
      </c>
    </row>
    <row r="26" ht="18" customHeight="1">
      <c r="B26" s="47" t="inlineStr">
        <is>
          <t>10.25%</t>
        </is>
      </c>
      <c r="C26" s="49">
        <f>IFERROR(1/(1+10.25/100),0)</f>
        <v/>
      </c>
      <c r="D26" s="49">
        <f>IFERROR(2/(1+10.25/100),0)</f>
        <v/>
      </c>
      <c r="E26" s="49">
        <f>IFERROR(3/(1+10.25/100),0)</f>
        <v/>
      </c>
      <c r="F26" s="49">
        <f>IFERROR(4/(1+10.25/100),0)</f>
        <v/>
      </c>
      <c r="G26" s="49">
        <f>IFERROR(5/(1+10.25/100),0)</f>
        <v/>
      </c>
      <c r="H26" s="49">
        <f>IFERROR(6/(1+10.25/100),0)</f>
        <v/>
      </c>
      <c r="I26" s="49">
        <f>IFERROR(7/(1+10.25/100),0)</f>
        <v/>
      </c>
      <c r="J26" s="49">
        <f>IFERROR(8/(1+10.25/100),0)</f>
        <v/>
      </c>
      <c r="K26" s="49">
        <f>IFERROR(9/(1+10.25/100),0)</f>
        <v/>
      </c>
      <c r="L26" s="49">
        <f>IFERROR(10/(1+10.25/100),0)</f>
        <v/>
      </c>
      <c r="M26" s="49">
        <f>IFERROR(11/(1+10.25/100),0)</f>
        <v/>
      </c>
      <c r="N26" s="49">
        <f>IFERROR(12/(1+10.25/100),0)</f>
        <v/>
      </c>
      <c r="O26" s="49">
        <f>IFERROR(13/(1+10.25/100),0)</f>
        <v/>
      </c>
      <c r="P26" s="49">
        <f>IFERROR(14/(1+10.25/100),0)</f>
        <v/>
      </c>
      <c r="Q26" s="49">
        <f>IFERROR(15/(1+10.25/100),0)</f>
        <v/>
      </c>
    </row>
    <row r="27" ht="18" customHeight="1">
      <c r="B27" s="47" t="inlineStr">
        <is>
          <t>10.50%</t>
        </is>
      </c>
      <c r="C27" s="48">
        <f>IFERROR(1/(1+10.5/100),0)</f>
        <v/>
      </c>
      <c r="D27" s="48">
        <f>IFERROR(2/(1+10.5/100),0)</f>
        <v/>
      </c>
      <c r="E27" s="48">
        <f>IFERROR(3/(1+10.5/100),0)</f>
        <v/>
      </c>
      <c r="F27" s="48">
        <f>IFERROR(4/(1+10.5/100),0)</f>
        <v/>
      </c>
      <c r="G27" s="48">
        <f>IFERROR(5/(1+10.5/100),0)</f>
        <v/>
      </c>
      <c r="H27" s="48">
        <f>IFERROR(6/(1+10.5/100),0)</f>
        <v/>
      </c>
      <c r="I27" s="48">
        <f>IFERROR(7/(1+10.5/100),0)</f>
        <v/>
      </c>
      <c r="J27" s="48">
        <f>IFERROR(8/(1+10.5/100),0)</f>
        <v/>
      </c>
      <c r="K27" s="48">
        <f>IFERROR(9/(1+10.5/100),0)</f>
        <v/>
      </c>
      <c r="L27" s="48">
        <f>IFERROR(10/(1+10.5/100),0)</f>
        <v/>
      </c>
      <c r="M27" s="48">
        <f>IFERROR(11/(1+10.5/100),0)</f>
        <v/>
      </c>
      <c r="N27" s="48">
        <f>IFERROR(12/(1+10.5/100),0)</f>
        <v/>
      </c>
      <c r="O27" s="48">
        <f>IFERROR(13/(1+10.5/100),0)</f>
        <v/>
      </c>
      <c r="P27" s="48">
        <f>IFERROR(14/(1+10.5/100),0)</f>
        <v/>
      </c>
      <c r="Q27" s="48">
        <f>IFERROR(15/(1+10.5/100),0)</f>
        <v/>
      </c>
    </row>
    <row r="28" ht="18" customHeight="1">
      <c r="B28" s="47" t="inlineStr">
        <is>
          <t>10.75%</t>
        </is>
      </c>
      <c r="C28" s="49">
        <f>IFERROR(1/(1+10.75/100),0)</f>
        <v/>
      </c>
      <c r="D28" s="49">
        <f>IFERROR(2/(1+10.75/100),0)</f>
        <v/>
      </c>
      <c r="E28" s="49">
        <f>IFERROR(3/(1+10.75/100),0)</f>
        <v/>
      </c>
      <c r="F28" s="49">
        <f>IFERROR(4/(1+10.75/100),0)</f>
        <v/>
      </c>
      <c r="G28" s="49">
        <f>IFERROR(5/(1+10.75/100),0)</f>
        <v/>
      </c>
      <c r="H28" s="49">
        <f>IFERROR(6/(1+10.75/100),0)</f>
        <v/>
      </c>
      <c r="I28" s="49">
        <f>IFERROR(7/(1+10.75/100),0)</f>
        <v/>
      </c>
      <c r="J28" s="49">
        <f>IFERROR(8/(1+10.75/100),0)</f>
        <v/>
      </c>
      <c r="K28" s="49">
        <f>IFERROR(9/(1+10.75/100),0)</f>
        <v/>
      </c>
      <c r="L28" s="49">
        <f>IFERROR(10/(1+10.75/100),0)</f>
        <v/>
      </c>
      <c r="M28" s="49">
        <f>IFERROR(11/(1+10.75/100),0)</f>
        <v/>
      </c>
      <c r="N28" s="49">
        <f>IFERROR(12/(1+10.75/100),0)</f>
        <v/>
      </c>
      <c r="O28" s="49">
        <f>IFERROR(13/(1+10.75/100),0)</f>
        <v/>
      </c>
      <c r="P28" s="49">
        <f>IFERROR(14/(1+10.75/100),0)</f>
        <v/>
      </c>
      <c r="Q28" s="49">
        <f>IFERROR(15/(1+10.75/100),0)</f>
        <v/>
      </c>
    </row>
    <row r="29" ht="18" customHeight="1">
      <c r="B29" s="47" t="inlineStr">
        <is>
          <t>11.00%</t>
        </is>
      </c>
      <c r="C29" s="48">
        <f>IFERROR(1/(1+11.0/100),0)</f>
        <v/>
      </c>
      <c r="D29" s="48">
        <f>IFERROR(2/(1+11.0/100),0)</f>
        <v/>
      </c>
      <c r="E29" s="48">
        <f>IFERROR(3/(1+11.0/100),0)</f>
        <v/>
      </c>
      <c r="F29" s="48">
        <f>IFERROR(4/(1+11.0/100),0)</f>
        <v/>
      </c>
      <c r="G29" s="48">
        <f>IFERROR(5/(1+11.0/100),0)</f>
        <v/>
      </c>
      <c r="H29" s="48">
        <f>IFERROR(6/(1+11.0/100),0)</f>
        <v/>
      </c>
      <c r="I29" s="48">
        <f>IFERROR(7/(1+11.0/100),0)</f>
        <v/>
      </c>
      <c r="J29" s="48">
        <f>IFERROR(8/(1+11.0/100),0)</f>
        <v/>
      </c>
      <c r="K29" s="48">
        <f>IFERROR(9/(1+11.0/100),0)</f>
        <v/>
      </c>
      <c r="L29" s="48">
        <f>IFERROR(10/(1+11.0/100),0)</f>
        <v/>
      </c>
      <c r="M29" s="48">
        <f>IFERROR(11/(1+11.0/100),0)</f>
        <v/>
      </c>
      <c r="N29" s="48">
        <f>IFERROR(12/(1+11.0/100),0)</f>
        <v/>
      </c>
      <c r="O29" s="48">
        <f>IFERROR(13/(1+11.0/100),0)</f>
        <v/>
      </c>
      <c r="P29" s="48">
        <f>IFERROR(14/(1+11.0/100),0)</f>
        <v/>
      </c>
      <c r="Q29" s="48">
        <f>IFERROR(15/(1+11.0/100),0)</f>
        <v/>
      </c>
    </row>
    <row r="31" ht="30" customHeight="1">
      <c r="B31" s="52" t="inlineStr">
        <is>
          <t>📊 VBA Monte Carlo button (Import Macro button below) runs 10,000 yield path simulations and outputs VaR (95%) and CVaR at 99% confidence. Also plots histogram of price outcomes.</t>
        </is>
      </c>
    </row>
    <row r="33" ht="28" customHeight="1">
      <c r="B33" s="53" t="inlineStr">
        <is>
          <t>👇 IMPORT VBA MODULE: Developer → Visual Basic → File → Import File → select Duration_Model.bas from the repo. Then assign 'RunWhatIf' to a button.</t>
        </is>
      </c>
    </row>
  </sheetData>
  <mergeCells count="4">
    <mergeCell ref="B33:M33"/>
    <mergeCell ref="B2:M2"/>
    <mergeCell ref="B31:M3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B1" s="18" t="inlineStr">
        <is>
          <t>AMORTISATION SCHEDULE (FULL AMORT TYPE — REFERENCE)</t>
        </is>
      </c>
    </row>
    <row r="3" ht="22" customHeight="1">
      <c r="B3" s="19" t="inlineStr">
        <is>
          <t>Period</t>
        </is>
      </c>
      <c r="C3" s="19" t="inlineStr">
        <is>
          <t>Opening Balance</t>
        </is>
      </c>
      <c r="D3" s="19" t="inlineStr">
        <is>
          <t>EMI / Coupon</t>
        </is>
      </c>
      <c r="E3" s="19" t="inlineStr">
        <is>
          <t>Interest Portion</t>
        </is>
      </c>
      <c r="F3" s="19" t="inlineStr">
        <is>
          <t>Principal Portion</t>
        </is>
      </c>
      <c r="G3" s="19" t="inlineStr">
        <is>
          <t>Closing Balance</t>
        </is>
      </c>
      <c r="H3" s="19" t="inlineStr">
        <is>
          <t>Cumulative Int.</t>
        </is>
      </c>
    </row>
    <row r="4" ht="18" customHeight="1">
      <c r="B4" s="22" t="n">
        <v>1</v>
      </c>
      <c r="C4" s="54">
        <f>Inputs!C6</f>
        <v/>
      </c>
      <c r="D4" s="54">
        <f>IF(1&lt;=Inputs!C10*Inputs!C8,Inputs!C6/(Inputs!C10*Inputs!C8)+Inputs!C6*Inputs!C7/Inputs!C8,0)</f>
        <v/>
      </c>
      <c r="E4" s="54">
        <f>C4*Inputs!C7/Inputs!C8</f>
        <v/>
      </c>
      <c r="F4" s="54">
        <f>D4-E4</f>
        <v/>
      </c>
      <c r="G4" s="54">
        <f>C4-F4</f>
        <v/>
      </c>
      <c r="H4" s="54">
        <f>E4</f>
        <v/>
      </c>
    </row>
    <row r="5" ht="18" customHeight="1">
      <c r="B5" s="26" t="n">
        <v>2</v>
      </c>
      <c r="C5" s="55">
        <f>G4</f>
        <v/>
      </c>
      <c r="D5" s="55">
        <f>IF(2&lt;=Inputs!C10*Inputs!C8,Inputs!C6/(Inputs!C10*Inputs!C8)+Inputs!C6*Inputs!C7/Inputs!C8,0)</f>
        <v/>
      </c>
      <c r="E5" s="55">
        <f>C5*Inputs!C7/Inputs!C8</f>
        <v/>
      </c>
      <c r="F5" s="55">
        <f>D5-E5</f>
        <v/>
      </c>
      <c r="G5" s="55">
        <f>C5-F5</f>
        <v/>
      </c>
      <c r="H5" s="55">
        <f>G4+E5</f>
        <v/>
      </c>
    </row>
    <row r="6" ht="18" customHeight="1">
      <c r="B6" s="22" t="n">
        <v>3</v>
      </c>
      <c r="C6" s="54">
        <f>G5</f>
        <v/>
      </c>
      <c r="D6" s="54">
        <f>IF(3&lt;=Inputs!C10*Inputs!C8,Inputs!C6/(Inputs!C10*Inputs!C8)+Inputs!C6*Inputs!C7/Inputs!C8,0)</f>
        <v/>
      </c>
      <c r="E6" s="54">
        <f>C6*Inputs!C7/Inputs!C8</f>
        <v/>
      </c>
      <c r="F6" s="54">
        <f>D6-E6</f>
        <v/>
      </c>
      <c r="G6" s="54">
        <f>C6-F6</f>
        <v/>
      </c>
      <c r="H6" s="54">
        <f>G5+E6</f>
        <v/>
      </c>
    </row>
    <row r="7" ht="18" customHeight="1">
      <c r="B7" s="26" t="n">
        <v>4</v>
      </c>
      <c r="C7" s="55">
        <f>G6</f>
        <v/>
      </c>
      <c r="D7" s="55">
        <f>IF(4&lt;=Inputs!C10*Inputs!C8,Inputs!C6/(Inputs!C10*Inputs!C8)+Inputs!C6*Inputs!C7/Inputs!C8,0)</f>
        <v/>
      </c>
      <c r="E7" s="55">
        <f>C7*Inputs!C7/Inputs!C8</f>
        <v/>
      </c>
      <c r="F7" s="55">
        <f>D7-E7</f>
        <v/>
      </c>
      <c r="G7" s="55">
        <f>C7-F7</f>
        <v/>
      </c>
      <c r="H7" s="55">
        <f>G6+E7</f>
        <v/>
      </c>
    </row>
    <row r="8" ht="18" customHeight="1">
      <c r="B8" s="22" t="n">
        <v>5</v>
      </c>
      <c r="C8" s="54">
        <f>G7</f>
        <v/>
      </c>
      <c r="D8" s="54">
        <f>IF(5&lt;=Inputs!C10*Inputs!C8,Inputs!C6/(Inputs!C10*Inputs!C8)+Inputs!C6*Inputs!C7/Inputs!C8,0)</f>
        <v/>
      </c>
      <c r="E8" s="54">
        <f>C8*Inputs!C7/Inputs!C8</f>
        <v/>
      </c>
      <c r="F8" s="54">
        <f>D8-E8</f>
        <v/>
      </c>
      <c r="G8" s="54">
        <f>C8-F8</f>
        <v/>
      </c>
      <c r="H8" s="54">
        <f>G7+E8</f>
        <v/>
      </c>
    </row>
    <row r="9" ht="18" customHeight="1">
      <c r="B9" s="26" t="n">
        <v>6</v>
      </c>
      <c r="C9" s="55">
        <f>G8</f>
        <v/>
      </c>
      <c r="D9" s="55">
        <f>IF(6&lt;=Inputs!C10*Inputs!C8,Inputs!C6/(Inputs!C10*Inputs!C8)+Inputs!C6*Inputs!C7/Inputs!C8,0)</f>
        <v/>
      </c>
      <c r="E9" s="55">
        <f>C9*Inputs!C7/Inputs!C8</f>
        <v/>
      </c>
      <c r="F9" s="55">
        <f>D9-E9</f>
        <v/>
      </c>
      <c r="G9" s="55">
        <f>C9-F9</f>
        <v/>
      </c>
      <c r="H9" s="55">
        <f>G8+E9</f>
        <v/>
      </c>
    </row>
    <row r="10" ht="18" customHeight="1">
      <c r="B10" s="22" t="n">
        <v>7</v>
      </c>
      <c r="C10" s="54">
        <f>G9</f>
        <v/>
      </c>
      <c r="D10" s="54">
        <f>IF(7&lt;=Inputs!C10*Inputs!C8,Inputs!C6/(Inputs!C10*Inputs!C8)+Inputs!C6*Inputs!C7/Inputs!C8,0)</f>
        <v/>
      </c>
      <c r="E10" s="54">
        <f>C10*Inputs!C7/Inputs!C8</f>
        <v/>
      </c>
      <c r="F10" s="54">
        <f>D10-E10</f>
        <v/>
      </c>
      <c r="G10" s="54">
        <f>C10-F10</f>
        <v/>
      </c>
      <c r="H10" s="54">
        <f>G9+E10</f>
        <v/>
      </c>
    </row>
    <row r="11" ht="18" customHeight="1">
      <c r="B11" s="26" t="n">
        <v>8</v>
      </c>
      <c r="C11" s="55">
        <f>G10</f>
        <v/>
      </c>
      <c r="D11" s="55">
        <f>IF(8&lt;=Inputs!C10*Inputs!C8,Inputs!C6/(Inputs!C10*Inputs!C8)+Inputs!C6*Inputs!C7/Inputs!C8,0)</f>
        <v/>
      </c>
      <c r="E11" s="55">
        <f>C11*Inputs!C7/Inputs!C8</f>
        <v/>
      </c>
      <c r="F11" s="55">
        <f>D11-E11</f>
        <v/>
      </c>
      <c r="G11" s="55">
        <f>C11-F11</f>
        <v/>
      </c>
      <c r="H11" s="55">
        <f>G10+E11</f>
        <v/>
      </c>
    </row>
    <row r="12" ht="18" customHeight="1">
      <c r="B12" s="22" t="n">
        <v>9</v>
      </c>
      <c r="C12" s="54">
        <f>G11</f>
        <v/>
      </c>
      <c r="D12" s="54">
        <f>IF(9&lt;=Inputs!C10*Inputs!C8,Inputs!C6/(Inputs!C10*Inputs!C8)+Inputs!C6*Inputs!C7/Inputs!C8,0)</f>
        <v/>
      </c>
      <c r="E12" s="54">
        <f>C12*Inputs!C7/Inputs!C8</f>
        <v/>
      </c>
      <c r="F12" s="54">
        <f>D12-E12</f>
        <v/>
      </c>
      <c r="G12" s="54">
        <f>C12-F12</f>
        <v/>
      </c>
      <c r="H12" s="54">
        <f>G11+E12</f>
        <v/>
      </c>
    </row>
    <row r="13" ht="18" customHeight="1">
      <c r="B13" s="26" t="n">
        <v>10</v>
      </c>
      <c r="C13" s="55">
        <f>G12</f>
        <v/>
      </c>
      <c r="D13" s="55">
        <f>IF(10&lt;=Inputs!C10*Inputs!C8,Inputs!C6/(Inputs!C10*Inputs!C8)+Inputs!C6*Inputs!C7/Inputs!C8,0)</f>
        <v/>
      </c>
      <c r="E13" s="55">
        <f>C13*Inputs!C7/Inputs!C8</f>
        <v/>
      </c>
      <c r="F13" s="55">
        <f>D13-E13</f>
        <v/>
      </c>
      <c r="G13" s="55">
        <f>C13-F13</f>
        <v/>
      </c>
      <c r="H13" s="55">
        <f>G12+E13</f>
        <v/>
      </c>
    </row>
    <row r="14" ht="18" customHeight="1">
      <c r="B14" s="22" t="n">
        <v>11</v>
      </c>
      <c r="C14" s="54">
        <f>G13</f>
        <v/>
      </c>
      <c r="D14" s="54">
        <f>IF(11&lt;=Inputs!C10*Inputs!C8,Inputs!C6/(Inputs!C10*Inputs!C8)+Inputs!C6*Inputs!C7/Inputs!C8,0)</f>
        <v/>
      </c>
      <c r="E14" s="54">
        <f>C14*Inputs!C7/Inputs!C8</f>
        <v/>
      </c>
      <c r="F14" s="54">
        <f>D14-E14</f>
        <v/>
      </c>
      <c r="G14" s="54">
        <f>C14-F14</f>
        <v/>
      </c>
      <c r="H14" s="54">
        <f>G13+E14</f>
        <v/>
      </c>
    </row>
    <row r="15" ht="18" customHeight="1">
      <c r="B15" s="26" t="n">
        <v>12</v>
      </c>
      <c r="C15" s="55">
        <f>G14</f>
        <v/>
      </c>
      <c r="D15" s="55">
        <f>IF(12&lt;=Inputs!C10*Inputs!C8,Inputs!C6/(Inputs!C10*Inputs!C8)+Inputs!C6*Inputs!C7/Inputs!C8,0)</f>
        <v/>
      </c>
      <c r="E15" s="55">
        <f>C15*Inputs!C7/Inputs!C8</f>
        <v/>
      </c>
      <c r="F15" s="55">
        <f>D15-E15</f>
        <v/>
      </c>
      <c r="G15" s="55">
        <f>C15-F15</f>
        <v/>
      </c>
      <c r="H15" s="55">
        <f>G14+E15</f>
        <v/>
      </c>
    </row>
    <row r="16" ht="18" customHeight="1">
      <c r="B16" s="22" t="n">
        <v>13</v>
      </c>
      <c r="C16" s="54">
        <f>G15</f>
        <v/>
      </c>
      <c r="D16" s="54">
        <f>IF(13&lt;=Inputs!C10*Inputs!C8,Inputs!C6/(Inputs!C10*Inputs!C8)+Inputs!C6*Inputs!C7/Inputs!C8,0)</f>
        <v/>
      </c>
      <c r="E16" s="54">
        <f>C16*Inputs!C7/Inputs!C8</f>
        <v/>
      </c>
      <c r="F16" s="54">
        <f>D16-E16</f>
        <v/>
      </c>
      <c r="G16" s="54">
        <f>C16-F16</f>
        <v/>
      </c>
      <c r="H16" s="54">
        <f>G15+E16</f>
        <v/>
      </c>
    </row>
    <row r="17" ht="18" customHeight="1">
      <c r="B17" s="26" t="n">
        <v>14</v>
      </c>
      <c r="C17" s="55">
        <f>G16</f>
        <v/>
      </c>
      <c r="D17" s="55">
        <f>IF(14&lt;=Inputs!C10*Inputs!C8,Inputs!C6/(Inputs!C10*Inputs!C8)+Inputs!C6*Inputs!C7/Inputs!C8,0)</f>
        <v/>
      </c>
      <c r="E17" s="55">
        <f>C17*Inputs!C7/Inputs!C8</f>
        <v/>
      </c>
      <c r="F17" s="55">
        <f>D17-E17</f>
        <v/>
      </c>
      <c r="G17" s="55">
        <f>C17-F17</f>
        <v/>
      </c>
      <c r="H17" s="55">
        <f>G16+E17</f>
        <v/>
      </c>
    </row>
    <row r="18" ht="18" customHeight="1">
      <c r="B18" s="22" t="n">
        <v>15</v>
      </c>
      <c r="C18" s="54">
        <f>G17</f>
        <v/>
      </c>
      <c r="D18" s="54">
        <f>IF(15&lt;=Inputs!C10*Inputs!C8,Inputs!C6/(Inputs!C10*Inputs!C8)+Inputs!C6*Inputs!C7/Inputs!C8,0)</f>
        <v/>
      </c>
      <c r="E18" s="54">
        <f>C18*Inputs!C7/Inputs!C8</f>
        <v/>
      </c>
      <c r="F18" s="54">
        <f>D18-E18</f>
        <v/>
      </c>
      <c r="G18" s="54">
        <f>C18-F18</f>
        <v/>
      </c>
      <c r="H18" s="54">
        <f>G17+E18</f>
        <v/>
      </c>
    </row>
    <row r="19" ht="18" customHeight="1">
      <c r="B19" s="26" t="n">
        <v>16</v>
      </c>
      <c r="C19" s="55">
        <f>G18</f>
        <v/>
      </c>
      <c r="D19" s="55">
        <f>IF(16&lt;=Inputs!C10*Inputs!C8,Inputs!C6/(Inputs!C10*Inputs!C8)+Inputs!C6*Inputs!C7/Inputs!C8,0)</f>
        <v/>
      </c>
      <c r="E19" s="55">
        <f>C19*Inputs!C7/Inputs!C8</f>
        <v/>
      </c>
      <c r="F19" s="55">
        <f>D19-E19</f>
        <v/>
      </c>
      <c r="G19" s="55">
        <f>C19-F19</f>
        <v/>
      </c>
      <c r="H19" s="55">
        <f>G18+E19</f>
        <v/>
      </c>
    </row>
    <row r="20" ht="18" customHeight="1">
      <c r="B20" s="22" t="n">
        <v>17</v>
      </c>
      <c r="C20" s="54">
        <f>G19</f>
        <v/>
      </c>
      <c r="D20" s="54">
        <f>IF(17&lt;=Inputs!C10*Inputs!C8,Inputs!C6/(Inputs!C10*Inputs!C8)+Inputs!C6*Inputs!C7/Inputs!C8,0)</f>
        <v/>
      </c>
      <c r="E20" s="54">
        <f>C20*Inputs!C7/Inputs!C8</f>
        <v/>
      </c>
      <c r="F20" s="54">
        <f>D20-E20</f>
        <v/>
      </c>
      <c r="G20" s="54">
        <f>C20-F20</f>
        <v/>
      </c>
      <c r="H20" s="54">
        <f>G19+E20</f>
        <v/>
      </c>
    </row>
    <row r="21" ht="18" customHeight="1">
      <c r="B21" s="26" t="n">
        <v>18</v>
      </c>
      <c r="C21" s="55">
        <f>G20</f>
        <v/>
      </c>
      <c r="D21" s="55">
        <f>IF(18&lt;=Inputs!C10*Inputs!C8,Inputs!C6/(Inputs!C10*Inputs!C8)+Inputs!C6*Inputs!C7/Inputs!C8,0)</f>
        <v/>
      </c>
      <c r="E21" s="55">
        <f>C21*Inputs!C7/Inputs!C8</f>
        <v/>
      </c>
      <c r="F21" s="55">
        <f>D21-E21</f>
        <v/>
      </c>
      <c r="G21" s="55">
        <f>C21-F21</f>
        <v/>
      </c>
      <c r="H21" s="55">
        <f>G20+E21</f>
        <v/>
      </c>
    </row>
    <row r="22" ht="18" customHeight="1">
      <c r="B22" s="22" t="n">
        <v>19</v>
      </c>
      <c r="C22" s="54">
        <f>G21</f>
        <v/>
      </c>
      <c r="D22" s="54">
        <f>IF(19&lt;=Inputs!C10*Inputs!C8,Inputs!C6/(Inputs!C10*Inputs!C8)+Inputs!C6*Inputs!C7/Inputs!C8,0)</f>
        <v/>
      </c>
      <c r="E22" s="54">
        <f>C22*Inputs!C7/Inputs!C8</f>
        <v/>
      </c>
      <c r="F22" s="54">
        <f>D22-E22</f>
        <v/>
      </c>
      <c r="G22" s="54">
        <f>C22-F22</f>
        <v/>
      </c>
      <c r="H22" s="54">
        <f>G21+E22</f>
        <v/>
      </c>
    </row>
    <row r="23" ht="18" customHeight="1">
      <c r="B23" s="26" t="n">
        <v>20</v>
      </c>
      <c r="C23" s="55">
        <f>G22</f>
        <v/>
      </c>
      <c r="D23" s="55">
        <f>IF(20&lt;=Inputs!C10*Inputs!C8,Inputs!C6/(Inputs!C10*Inputs!C8)+Inputs!C6*Inputs!C7/Inputs!C8,0)</f>
        <v/>
      </c>
      <c r="E23" s="55">
        <f>C23*Inputs!C7/Inputs!C8</f>
        <v/>
      </c>
      <c r="F23" s="55">
        <f>D23-E23</f>
        <v/>
      </c>
      <c r="G23" s="55">
        <f>C23-F23</f>
        <v/>
      </c>
      <c r="H23" s="55">
        <f>G22+E23</f>
        <v/>
      </c>
    </row>
    <row r="24" ht="18" customHeight="1">
      <c r="B24" s="22" t="n">
        <v>21</v>
      </c>
      <c r="C24" s="54">
        <f>G23</f>
        <v/>
      </c>
      <c r="D24" s="54">
        <f>IF(21&lt;=Inputs!C10*Inputs!C8,Inputs!C6/(Inputs!C10*Inputs!C8)+Inputs!C6*Inputs!C7/Inputs!C8,0)</f>
        <v/>
      </c>
      <c r="E24" s="54">
        <f>C24*Inputs!C7/Inputs!C8</f>
        <v/>
      </c>
      <c r="F24" s="54">
        <f>D24-E24</f>
        <v/>
      </c>
      <c r="G24" s="54">
        <f>C24-F24</f>
        <v/>
      </c>
      <c r="H24" s="54">
        <f>G23+E24</f>
        <v/>
      </c>
    </row>
    <row r="25" ht="18" customHeight="1">
      <c r="B25" s="26" t="n">
        <v>22</v>
      </c>
      <c r="C25" s="55">
        <f>G24</f>
        <v/>
      </c>
      <c r="D25" s="55">
        <f>IF(22&lt;=Inputs!C10*Inputs!C8,Inputs!C6/(Inputs!C10*Inputs!C8)+Inputs!C6*Inputs!C7/Inputs!C8,0)</f>
        <v/>
      </c>
      <c r="E25" s="55">
        <f>C25*Inputs!C7/Inputs!C8</f>
        <v/>
      </c>
      <c r="F25" s="55">
        <f>D25-E25</f>
        <v/>
      </c>
      <c r="G25" s="55">
        <f>C25-F25</f>
        <v/>
      </c>
      <c r="H25" s="55">
        <f>G24+E25</f>
        <v/>
      </c>
    </row>
    <row r="26" ht="18" customHeight="1">
      <c r="B26" s="22" t="n">
        <v>23</v>
      </c>
      <c r="C26" s="54">
        <f>G25</f>
        <v/>
      </c>
      <c r="D26" s="54">
        <f>IF(23&lt;=Inputs!C10*Inputs!C8,Inputs!C6/(Inputs!C10*Inputs!C8)+Inputs!C6*Inputs!C7/Inputs!C8,0)</f>
        <v/>
      </c>
      <c r="E26" s="54">
        <f>C26*Inputs!C7/Inputs!C8</f>
        <v/>
      </c>
      <c r="F26" s="54">
        <f>D26-E26</f>
        <v/>
      </c>
      <c r="G26" s="54">
        <f>C26-F26</f>
        <v/>
      </c>
      <c r="H26" s="54">
        <f>G25+E26</f>
        <v/>
      </c>
    </row>
    <row r="27" ht="18" customHeight="1">
      <c r="B27" s="26" t="n">
        <v>24</v>
      </c>
      <c r="C27" s="55">
        <f>G26</f>
        <v/>
      </c>
      <c r="D27" s="55">
        <f>IF(24&lt;=Inputs!C10*Inputs!C8,Inputs!C6/(Inputs!C10*Inputs!C8)+Inputs!C6*Inputs!C7/Inputs!C8,0)</f>
        <v/>
      </c>
      <c r="E27" s="55">
        <f>C27*Inputs!C7/Inputs!C8</f>
        <v/>
      </c>
      <c r="F27" s="55">
        <f>D27-E27</f>
        <v/>
      </c>
      <c r="G27" s="55">
        <f>C27-F27</f>
        <v/>
      </c>
      <c r="H27" s="55">
        <f>G26+E27</f>
        <v/>
      </c>
    </row>
    <row r="28" ht="18" customHeight="1">
      <c r="B28" s="22" t="n">
        <v>25</v>
      </c>
      <c r="C28" s="54">
        <f>G27</f>
        <v/>
      </c>
      <c r="D28" s="54">
        <f>IF(25&lt;=Inputs!C10*Inputs!C8,Inputs!C6/(Inputs!C10*Inputs!C8)+Inputs!C6*Inputs!C7/Inputs!C8,0)</f>
        <v/>
      </c>
      <c r="E28" s="54">
        <f>C28*Inputs!C7/Inputs!C8</f>
        <v/>
      </c>
      <c r="F28" s="54">
        <f>D28-E28</f>
        <v/>
      </c>
      <c r="G28" s="54">
        <f>C28-F28</f>
        <v/>
      </c>
      <c r="H28" s="54">
        <f>G27+E28</f>
        <v/>
      </c>
    </row>
    <row r="29" ht="18" customHeight="1">
      <c r="B29" s="26" t="n">
        <v>26</v>
      </c>
      <c r="C29" s="55">
        <f>G28</f>
        <v/>
      </c>
      <c r="D29" s="55">
        <f>IF(26&lt;=Inputs!C10*Inputs!C8,Inputs!C6/(Inputs!C10*Inputs!C8)+Inputs!C6*Inputs!C7/Inputs!C8,0)</f>
        <v/>
      </c>
      <c r="E29" s="55">
        <f>C29*Inputs!C7/Inputs!C8</f>
        <v/>
      </c>
      <c r="F29" s="55">
        <f>D29-E29</f>
        <v/>
      </c>
      <c r="G29" s="55">
        <f>C29-F29</f>
        <v/>
      </c>
      <c r="H29" s="55">
        <f>G28+E29</f>
        <v/>
      </c>
    </row>
    <row r="30" ht="18" customHeight="1">
      <c r="B30" s="22" t="n">
        <v>27</v>
      </c>
      <c r="C30" s="54">
        <f>G29</f>
        <v/>
      </c>
      <c r="D30" s="54">
        <f>IF(27&lt;=Inputs!C10*Inputs!C8,Inputs!C6/(Inputs!C10*Inputs!C8)+Inputs!C6*Inputs!C7/Inputs!C8,0)</f>
        <v/>
      </c>
      <c r="E30" s="54">
        <f>C30*Inputs!C7/Inputs!C8</f>
        <v/>
      </c>
      <c r="F30" s="54">
        <f>D30-E30</f>
        <v/>
      </c>
      <c r="G30" s="54">
        <f>C30-F30</f>
        <v/>
      </c>
      <c r="H30" s="54">
        <f>G29+E30</f>
        <v/>
      </c>
    </row>
    <row r="31" ht="18" customHeight="1">
      <c r="B31" s="26" t="n">
        <v>28</v>
      </c>
      <c r="C31" s="55">
        <f>G30</f>
        <v/>
      </c>
      <c r="D31" s="55">
        <f>IF(28&lt;=Inputs!C10*Inputs!C8,Inputs!C6/(Inputs!C10*Inputs!C8)+Inputs!C6*Inputs!C7/Inputs!C8,0)</f>
        <v/>
      </c>
      <c r="E31" s="55">
        <f>C31*Inputs!C7/Inputs!C8</f>
        <v/>
      </c>
      <c r="F31" s="55">
        <f>D31-E31</f>
        <v/>
      </c>
      <c r="G31" s="55">
        <f>C31-F31</f>
        <v/>
      </c>
      <c r="H31" s="55">
        <f>G30+E31</f>
        <v/>
      </c>
    </row>
    <row r="32" ht="18" customHeight="1">
      <c r="B32" s="22" t="n">
        <v>29</v>
      </c>
      <c r="C32" s="54">
        <f>G31</f>
        <v/>
      </c>
      <c r="D32" s="54">
        <f>IF(29&lt;=Inputs!C10*Inputs!C8,Inputs!C6/(Inputs!C10*Inputs!C8)+Inputs!C6*Inputs!C7/Inputs!C8,0)</f>
        <v/>
      </c>
      <c r="E32" s="54">
        <f>C32*Inputs!C7/Inputs!C8</f>
        <v/>
      </c>
      <c r="F32" s="54">
        <f>D32-E32</f>
        <v/>
      </c>
      <c r="G32" s="54">
        <f>C32-F32</f>
        <v/>
      </c>
      <c r="H32" s="54">
        <f>G31+E32</f>
        <v/>
      </c>
    </row>
    <row r="33" ht="18" customHeight="1">
      <c r="B33" s="26" t="n">
        <v>30</v>
      </c>
      <c r="C33" s="55">
        <f>G32</f>
        <v/>
      </c>
      <c r="D33" s="55">
        <f>IF(30&lt;=Inputs!C10*Inputs!C8,Inputs!C6/(Inputs!C10*Inputs!C8)+Inputs!C6*Inputs!C7/Inputs!C8,0)</f>
        <v/>
      </c>
      <c r="E33" s="55">
        <f>C33*Inputs!C7/Inputs!C8</f>
        <v/>
      </c>
      <c r="F33" s="55">
        <f>D33-E33</f>
        <v/>
      </c>
      <c r="G33" s="55">
        <f>C33-F33</f>
        <v/>
      </c>
      <c r="H33" s="55">
        <f>G32+E33</f>
        <v/>
      </c>
    </row>
    <row r="34" ht="18" customHeight="1">
      <c r="B34" s="22" t="n">
        <v>31</v>
      </c>
      <c r="C34" s="54">
        <f>G33</f>
        <v/>
      </c>
      <c r="D34" s="54">
        <f>IF(31&lt;=Inputs!C10*Inputs!C8,Inputs!C6/(Inputs!C10*Inputs!C8)+Inputs!C6*Inputs!C7/Inputs!C8,0)</f>
        <v/>
      </c>
      <c r="E34" s="54">
        <f>C34*Inputs!C7/Inputs!C8</f>
        <v/>
      </c>
      <c r="F34" s="54">
        <f>D34-E34</f>
        <v/>
      </c>
      <c r="G34" s="54">
        <f>C34-F34</f>
        <v/>
      </c>
      <c r="H34" s="54">
        <f>G33+E34</f>
        <v/>
      </c>
    </row>
    <row r="35" ht="18" customHeight="1">
      <c r="B35" s="26" t="n">
        <v>32</v>
      </c>
      <c r="C35" s="55">
        <f>G34</f>
        <v/>
      </c>
      <c r="D35" s="55">
        <f>IF(32&lt;=Inputs!C10*Inputs!C8,Inputs!C6/(Inputs!C10*Inputs!C8)+Inputs!C6*Inputs!C7/Inputs!C8,0)</f>
        <v/>
      </c>
      <c r="E35" s="55">
        <f>C35*Inputs!C7/Inputs!C8</f>
        <v/>
      </c>
      <c r="F35" s="55">
        <f>D35-E35</f>
        <v/>
      </c>
      <c r="G35" s="55">
        <f>C35-F35</f>
        <v/>
      </c>
      <c r="H35" s="55">
        <f>G34+E35</f>
        <v/>
      </c>
    </row>
    <row r="36" ht="18" customHeight="1">
      <c r="B36" s="22" t="n">
        <v>33</v>
      </c>
      <c r="C36" s="54">
        <f>G35</f>
        <v/>
      </c>
      <c r="D36" s="54">
        <f>IF(33&lt;=Inputs!C10*Inputs!C8,Inputs!C6/(Inputs!C10*Inputs!C8)+Inputs!C6*Inputs!C7/Inputs!C8,0)</f>
        <v/>
      </c>
      <c r="E36" s="54">
        <f>C36*Inputs!C7/Inputs!C8</f>
        <v/>
      </c>
      <c r="F36" s="54">
        <f>D36-E36</f>
        <v/>
      </c>
      <c r="G36" s="54">
        <f>C36-F36</f>
        <v/>
      </c>
      <c r="H36" s="54">
        <f>G35+E36</f>
        <v/>
      </c>
    </row>
    <row r="37" ht="18" customHeight="1">
      <c r="B37" s="26" t="n">
        <v>34</v>
      </c>
      <c r="C37" s="55">
        <f>G36</f>
        <v/>
      </c>
      <c r="D37" s="55">
        <f>IF(34&lt;=Inputs!C10*Inputs!C8,Inputs!C6/(Inputs!C10*Inputs!C8)+Inputs!C6*Inputs!C7/Inputs!C8,0)</f>
        <v/>
      </c>
      <c r="E37" s="55">
        <f>C37*Inputs!C7/Inputs!C8</f>
        <v/>
      </c>
      <c r="F37" s="55">
        <f>D37-E37</f>
        <v/>
      </c>
      <c r="G37" s="55">
        <f>C37-F37</f>
        <v/>
      </c>
      <c r="H37" s="55">
        <f>G36+E37</f>
        <v/>
      </c>
    </row>
    <row r="38" ht="18" customHeight="1">
      <c r="B38" s="22" t="n">
        <v>35</v>
      </c>
      <c r="C38" s="54">
        <f>G37</f>
        <v/>
      </c>
      <c r="D38" s="54">
        <f>IF(35&lt;=Inputs!C10*Inputs!C8,Inputs!C6/(Inputs!C10*Inputs!C8)+Inputs!C6*Inputs!C7/Inputs!C8,0)</f>
        <v/>
      </c>
      <c r="E38" s="54">
        <f>C38*Inputs!C7/Inputs!C8</f>
        <v/>
      </c>
      <c r="F38" s="54">
        <f>D38-E38</f>
        <v/>
      </c>
      <c r="G38" s="54">
        <f>C38-F38</f>
        <v/>
      </c>
      <c r="H38" s="54">
        <f>G37+E38</f>
        <v/>
      </c>
    </row>
    <row r="39" ht="18" customHeight="1">
      <c r="B39" s="26" t="n">
        <v>36</v>
      </c>
      <c r="C39" s="55">
        <f>G38</f>
        <v/>
      </c>
      <c r="D39" s="55">
        <f>IF(36&lt;=Inputs!C10*Inputs!C8,Inputs!C6/(Inputs!C10*Inputs!C8)+Inputs!C6*Inputs!C7/Inputs!C8,0)</f>
        <v/>
      </c>
      <c r="E39" s="55">
        <f>C39*Inputs!C7/Inputs!C8</f>
        <v/>
      </c>
      <c r="F39" s="55">
        <f>D39-E39</f>
        <v/>
      </c>
      <c r="G39" s="55">
        <f>C39-F39</f>
        <v/>
      </c>
      <c r="H39" s="55">
        <f>G38+E39</f>
        <v/>
      </c>
    </row>
    <row r="40" ht="18" customHeight="1">
      <c r="B40" s="22" t="n">
        <v>37</v>
      </c>
      <c r="C40" s="54">
        <f>G39</f>
        <v/>
      </c>
      <c r="D40" s="54">
        <f>IF(37&lt;=Inputs!C10*Inputs!C8,Inputs!C6/(Inputs!C10*Inputs!C8)+Inputs!C6*Inputs!C7/Inputs!C8,0)</f>
        <v/>
      </c>
      <c r="E40" s="54">
        <f>C40*Inputs!C7/Inputs!C8</f>
        <v/>
      </c>
      <c r="F40" s="54">
        <f>D40-E40</f>
        <v/>
      </c>
      <c r="G40" s="54">
        <f>C40-F40</f>
        <v/>
      </c>
      <c r="H40" s="54">
        <f>G39+E40</f>
        <v/>
      </c>
    </row>
    <row r="41" ht="18" customHeight="1">
      <c r="B41" s="26" t="n">
        <v>38</v>
      </c>
      <c r="C41" s="55">
        <f>G40</f>
        <v/>
      </c>
      <c r="D41" s="55">
        <f>IF(38&lt;=Inputs!C10*Inputs!C8,Inputs!C6/(Inputs!C10*Inputs!C8)+Inputs!C6*Inputs!C7/Inputs!C8,0)</f>
        <v/>
      </c>
      <c r="E41" s="55">
        <f>C41*Inputs!C7/Inputs!C8</f>
        <v/>
      </c>
      <c r="F41" s="55">
        <f>D41-E41</f>
        <v/>
      </c>
      <c r="G41" s="55">
        <f>C41-F41</f>
        <v/>
      </c>
      <c r="H41" s="55">
        <f>G40+E41</f>
        <v/>
      </c>
    </row>
    <row r="42" ht="18" customHeight="1">
      <c r="B42" s="22" t="n">
        <v>39</v>
      </c>
      <c r="C42" s="54">
        <f>G41</f>
        <v/>
      </c>
      <c r="D42" s="54">
        <f>IF(39&lt;=Inputs!C10*Inputs!C8,Inputs!C6/(Inputs!C10*Inputs!C8)+Inputs!C6*Inputs!C7/Inputs!C8,0)</f>
        <v/>
      </c>
      <c r="E42" s="54">
        <f>C42*Inputs!C7/Inputs!C8</f>
        <v/>
      </c>
      <c r="F42" s="54">
        <f>D42-E42</f>
        <v/>
      </c>
      <c r="G42" s="54">
        <f>C42-F42</f>
        <v/>
      </c>
      <c r="H42" s="54">
        <f>G41+E42</f>
        <v/>
      </c>
    </row>
    <row r="43" ht="18" customHeight="1">
      <c r="B43" s="26" t="n">
        <v>40</v>
      </c>
      <c r="C43" s="55">
        <f>G42</f>
        <v/>
      </c>
      <c r="D43" s="55">
        <f>IF(40&lt;=Inputs!C10*Inputs!C8,Inputs!C6/(Inputs!C10*Inputs!C8)+Inputs!C6*Inputs!C7/Inputs!C8,0)</f>
        <v/>
      </c>
      <c r="E43" s="55">
        <f>C43*Inputs!C7/Inputs!C8</f>
        <v/>
      </c>
      <c r="F43" s="55">
        <f>D43-E43</f>
        <v/>
      </c>
      <c r="G43" s="55">
        <f>C43-F43</f>
        <v/>
      </c>
      <c r="H43" s="55">
        <f>G42+E43</f>
        <v/>
      </c>
    </row>
    <row r="44" ht="18" customHeight="1">
      <c r="B44" s="22" t="n">
        <v>41</v>
      </c>
      <c r="C44" s="54">
        <f>G43</f>
        <v/>
      </c>
      <c r="D44" s="54">
        <f>IF(41&lt;=Inputs!C10*Inputs!C8,Inputs!C6/(Inputs!C10*Inputs!C8)+Inputs!C6*Inputs!C7/Inputs!C8,0)</f>
        <v/>
      </c>
      <c r="E44" s="54">
        <f>C44*Inputs!C7/Inputs!C8</f>
        <v/>
      </c>
      <c r="F44" s="54">
        <f>D44-E44</f>
        <v/>
      </c>
      <c r="G44" s="54">
        <f>C44-F44</f>
        <v/>
      </c>
      <c r="H44" s="54">
        <f>G43+E44</f>
        <v/>
      </c>
    </row>
    <row r="45" ht="18" customHeight="1">
      <c r="B45" s="26" t="n">
        <v>42</v>
      </c>
      <c r="C45" s="55">
        <f>G44</f>
        <v/>
      </c>
      <c r="D45" s="55">
        <f>IF(42&lt;=Inputs!C10*Inputs!C8,Inputs!C6/(Inputs!C10*Inputs!C8)+Inputs!C6*Inputs!C7/Inputs!C8,0)</f>
        <v/>
      </c>
      <c r="E45" s="55">
        <f>C45*Inputs!C7/Inputs!C8</f>
        <v/>
      </c>
      <c r="F45" s="55">
        <f>D45-E45</f>
        <v/>
      </c>
      <c r="G45" s="55">
        <f>C45-F45</f>
        <v/>
      </c>
      <c r="H45" s="55">
        <f>G44+E45</f>
        <v/>
      </c>
    </row>
    <row r="46" ht="18" customHeight="1">
      <c r="B46" s="22" t="n">
        <v>43</v>
      </c>
      <c r="C46" s="54">
        <f>G45</f>
        <v/>
      </c>
      <c r="D46" s="54">
        <f>IF(43&lt;=Inputs!C10*Inputs!C8,Inputs!C6/(Inputs!C10*Inputs!C8)+Inputs!C6*Inputs!C7/Inputs!C8,0)</f>
        <v/>
      </c>
      <c r="E46" s="54">
        <f>C46*Inputs!C7/Inputs!C8</f>
        <v/>
      </c>
      <c r="F46" s="54">
        <f>D46-E46</f>
        <v/>
      </c>
      <c r="G46" s="54">
        <f>C46-F46</f>
        <v/>
      </c>
      <c r="H46" s="54">
        <f>G45+E46</f>
        <v/>
      </c>
    </row>
    <row r="47" ht="18" customHeight="1">
      <c r="B47" s="26" t="n">
        <v>44</v>
      </c>
      <c r="C47" s="55">
        <f>G46</f>
        <v/>
      </c>
      <c r="D47" s="55">
        <f>IF(44&lt;=Inputs!C10*Inputs!C8,Inputs!C6/(Inputs!C10*Inputs!C8)+Inputs!C6*Inputs!C7/Inputs!C8,0)</f>
        <v/>
      </c>
      <c r="E47" s="55">
        <f>C47*Inputs!C7/Inputs!C8</f>
        <v/>
      </c>
      <c r="F47" s="55">
        <f>D47-E47</f>
        <v/>
      </c>
      <c r="G47" s="55">
        <f>C47-F47</f>
        <v/>
      </c>
      <c r="H47" s="55">
        <f>G46+E47</f>
        <v/>
      </c>
    </row>
    <row r="48" ht="18" customHeight="1">
      <c r="B48" s="22" t="n">
        <v>45</v>
      </c>
      <c r="C48" s="54">
        <f>G47</f>
        <v/>
      </c>
      <c r="D48" s="54">
        <f>IF(45&lt;=Inputs!C10*Inputs!C8,Inputs!C6/(Inputs!C10*Inputs!C8)+Inputs!C6*Inputs!C7/Inputs!C8,0)</f>
        <v/>
      </c>
      <c r="E48" s="54">
        <f>C48*Inputs!C7/Inputs!C8</f>
        <v/>
      </c>
      <c r="F48" s="54">
        <f>D48-E48</f>
        <v/>
      </c>
      <c r="G48" s="54">
        <f>C48-F48</f>
        <v/>
      </c>
      <c r="H48" s="54">
        <f>G47+E48</f>
        <v/>
      </c>
    </row>
    <row r="49" ht="18" customHeight="1">
      <c r="B49" s="26" t="n">
        <v>46</v>
      </c>
      <c r="C49" s="55">
        <f>G48</f>
        <v/>
      </c>
      <c r="D49" s="55">
        <f>IF(46&lt;=Inputs!C10*Inputs!C8,Inputs!C6/(Inputs!C10*Inputs!C8)+Inputs!C6*Inputs!C7/Inputs!C8,0)</f>
        <v/>
      </c>
      <c r="E49" s="55">
        <f>C49*Inputs!C7/Inputs!C8</f>
        <v/>
      </c>
      <c r="F49" s="55">
        <f>D49-E49</f>
        <v/>
      </c>
      <c r="G49" s="55">
        <f>C49-F49</f>
        <v/>
      </c>
      <c r="H49" s="55">
        <f>G48+E49</f>
        <v/>
      </c>
    </row>
    <row r="50" ht="18" customHeight="1">
      <c r="B50" s="22" t="n">
        <v>47</v>
      </c>
      <c r="C50" s="54">
        <f>G49</f>
        <v/>
      </c>
      <c r="D50" s="54">
        <f>IF(47&lt;=Inputs!C10*Inputs!C8,Inputs!C6/(Inputs!C10*Inputs!C8)+Inputs!C6*Inputs!C7/Inputs!C8,0)</f>
        <v/>
      </c>
      <c r="E50" s="54">
        <f>C50*Inputs!C7/Inputs!C8</f>
        <v/>
      </c>
      <c r="F50" s="54">
        <f>D50-E50</f>
        <v/>
      </c>
      <c r="G50" s="54">
        <f>C50-F50</f>
        <v/>
      </c>
      <c r="H50" s="54">
        <f>G49+E50</f>
        <v/>
      </c>
    </row>
    <row r="51" ht="18" customHeight="1">
      <c r="B51" s="26" t="n">
        <v>48</v>
      </c>
      <c r="C51" s="55">
        <f>G50</f>
        <v/>
      </c>
      <c r="D51" s="55">
        <f>IF(48&lt;=Inputs!C10*Inputs!C8,Inputs!C6/(Inputs!C10*Inputs!C8)+Inputs!C6*Inputs!C7/Inputs!C8,0)</f>
        <v/>
      </c>
      <c r="E51" s="55">
        <f>C51*Inputs!C7/Inputs!C8</f>
        <v/>
      </c>
      <c r="F51" s="55">
        <f>D51-E51</f>
        <v/>
      </c>
      <c r="G51" s="55">
        <f>C51-F51</f>
        <v/>
      </c>
      <c r="H51" s="55">
        <f>G50+E51</f>
        <v/>
      </c>
    </row>
    <row r="52" ht="18" customHeight="1">
      <c r="B52" s="22" t="n">
        <v>49</v>
      </c>
      <c r="C52" s="54">
        <f>G51</f>
        <v/>
      </c>
      <c r="D52" s="54">
        <f>IF(49&lt;=Inputs!C10*Inputs!C8,Inputs!C6/(Inputs!C10*Inputs!C8)+Inputs!C6*Inputs!C7/Inputs!C8,0)</f>
        <v/>
      </c>
      <c r="E52" s="54">
        <f>C52*Inputs!C7/Inputs!C8</f>
        <v/>
      </c>
      <c r="F52" s="54">
        <f>D52-E52</f>
        <v/>
      </c>
      <c r="G52" s="54">
        <f>C52-F52</f>
        <v/>
      </c>
      <c r="H52" s="54">
        <f>G51+E52</f>
        <v/>
      </c>
    </row>
    <row r="53" ht="18" customHeight="1">
      <c r="B53" s="26" t="n">
        <v>50</v>
      </c>
      <c r="C53" s="55">
        <f>G52</f>
        <v/>
      </c>
      <c r="D53" s="55">
        <f>IF(50&lt;=Inputs!C10*Inputs!C8,Inputs!C6/(Inputs!C10*Inputs!C8)+Inputs!C6*Inputs!C7/Inputs!C8,0)</f>
        <v/>
      </c>
      <c r="E53" s="55">
        <f>C53*Inputs!C7/Inputs!C8</f>
        <v/>
      </c>
      <c r="F53" s="55">
        <f>D53-E53</f>
        <v/>
      </c>
      <c r="G53" s="55">
        <f>C53-F53</f>
        <v/>
      </c>
      <c r="H53" s="55">
        <f>G52+E53</f>
        <v/>
      </c>
    </row>
    <row r="54" ht="18" customHeight="1">
      <c r="B54" s="22" t="n">
        <v>51</v>
      </c>
      <c r="C54" s="54">
        <f>G53</f>
        <v/>
      </c>
      <c r="D54" s="54">
        <f>IF(51&lt;=Inputs!C10*Inputs!C8,Inputs!C6/(Inputs!C10*Inputs!C8)+Inputs!C6*Inputs!C7/Inputs!C8,0)</f>
        <v/>
      </c>
      <c r="E54" s="54">
        <f>C54*Inputs!C7/Inputs!C8</f>
        <v/>
      </c>
      <c r="F54" s="54">
        <f>D54-E54</f>
        <v/>
      </c>
      <c r="G54" s="54">
        <f>C54-F54</f>
        <v/>
      </c>
      <c r="H54" s="54">
        <f>G53+E54</f>
        <v/>
      </c>
    </row>
    <row r="55" ht="18" customHeight="1">
      <c r="B55" s="26" t="n">
        <v>52</v>
      </c>
      <c r="C55" s="55">
        <f>G54</f>
        <v/>
      </c>
      <c r="D55" s="55">
        <f>IF(52&lt;=Inputs!C10*Inputs!C8,Inputs!C6/(Inputs!C10*Inputs!C8)+Inputs!C6*Inputs!C7/Inputs!C8,0)</f>
        <v/>
      </c>
      <c r="E55" s="55">
        <f>C55*Inputs!C7/Inputs!C8</f>
        <v/>
      </c>
      <c r="F55" s="55">
        <f>D55-E55</f>
        <v/>
      </c>
      <c r="G55" s="55">
        <f>C55-F55</f>
        <v/>
      </c>
      <c r="H55" s="55">
        <f>G54+E55</f>
        <v/>
      </c>
    </row>
    <row r="56" ht="18" customHeight="1">
      <c r="B56" s="22" t="n">
        <v>53</v>
      </c>
      <c r="C56" s="54">
        <f>G55</f>
        <v/>
      </c>
      <c r="D56" s="54">
        <f>IF(53&lt;=Inputs!C10*Inputs!C8,Inputs!C6/(Inputs!C10*Inputs!C8)+Inputs!C6*Inputs!C7/Inputs!C8,0)</f>
        <v/>
      </c>
      <c r="E56" s="54">
        <f>C56*Inputs!C7/Inputs!C8</f>
        <v/>
      </c>
      <c r="F56" s="54">
        <f>D56-E56</f>
        <v/>
      </c>
      <c r="G56" s="54">
        <f>C56-F56</f>
        <v/>
      </c>
      <c r="H56" s="54">
        <f>G55+E56</f>
        <v/>
      </c>
    </row>
    <row r="57" ht="18" customHeight="1">
      <c r="B57" s="26" t="n">
        <v>54</v>
      </c>
      <c r="C57" s="55">
        <f>G56</f>
        <v/>
      </c>
      <c r="D57" s="55">
        <f>IF(54&lt;=Inputs!C10*Inputs!C8,Inputs!C6/(Inputs!C10*Inputs!C8)+Inputs!C6*Inputs!C7/Inputs!C8,0)</f>
        <v/>
      </c>
      <c r="E57" s="55">
        <f>C57*Inputs!C7/Inputs!C8</f>
        <v/>
      </c>
      <c r="F57" s="55">
        <f>D57-E57</f>
        <v/>
      </c>
      <c r="G57" s="55">
        <f>C57-F57</f>
        <v/>
      </c>
      <c r="H57" s="55">
        <f>G56+E57</f>
        <v/>
      </c>
    </row>
    <row r="58" ht="18" customHeight="1">
      <c r="B58" s="22" t="n">
        <v>55</v>
      </c>
      <c r="C58" s="54">
        <f>G57</f>
        <v/>
      </c>
      <c r="D58" s="54">
        <f>IF(55&lt;=Inputs!C10*Inputs!C8,Inputs!C6/(Inputs!C10*Inputs!C8)+Inputs!C6*Inputs!C7/Inputs!C8,0)</f>
        <v/>
      </c>
      <c r="E58" s="54">
        <f>C58*Inputs!C7/Inputs!C8</f>
        <v/>
      </c>
      <c r="F58" s="54">
        <f>D58-E58</f>
        <v/>
      </c>
      <c r="G58" s="54">
        <f>C58-F58</f>
        <v/>
      </c>
      <c r="H58" s="54">
        <f>G57+E58</f>
        <v/>
      </c>
    </row>
    <row r="59" ht="18" customHeight="1">
      <c r="B59" s="26" t="n">
        <v>56</v>
      </c>
      <c r="C59" s="55">
        <f>G58</f>
        <v/>
      </c>
      <c r="D59" s="55">
        <f>IF(56&lt;=Inputs!C10*Inputs!C8,Inputs!C6/(Inputs!C10*Inputs!C8)+Inputs!C6*Inputs!C7/Inputs!C8,0)</f>
        <v/>
      </c>
      <c r="E59" s="55">
        <f>C59*Inputs!C7/Inputs!C8</f>
        <v/>
      </c>
      <c r="F59" s="55">
        <f>D59-E59</f>
        <v/>
      </c>
      <c r="G59" s="55">
        <f>C59-F59</f>
        <v/>
      </c>
      <c r="H59" s="55">
        <f>G58+E59</f>
        <v/>
      </c>
    </row>
    <row r="60" ht="18" customHeight="1">
      <c r="B60" s="22" t="n">
        <v>57</v>
      </c>
      <c r="C60" s="54">
        <f>G59</f>
        <v/>
      </c>
      <c r="D60" s="54">
        <f>IF(57&lt;=Inputs!C10*Inputs!C8,Inputs!C6/(Inputs!C10*Inputs!C8)+Inputs!C6*Inputs!C7/Inputs!C8,0)</f>
        <v/>
      </c>
      <c r="E60" s="54">
        <f>C60*Inputs!C7/Inputs!C8</f>
        <v/>
      </c>
      <c r="F60" s="54">
        <f>D60-E60</f>
        <v/>
      </c>
      <c r="G60" s="54">
        <f>C60-F60</f>
        <v/>
      </c>
      <c r="H60" s="54">
        <f>G59+E60</f>
        <v/>
      </c>
    </row>
    <row r="61" ht="18" customHeight="1">
      <c r="B61" s="26" t="n">
        <v>58</v>
      </c>
      <c r="C61" s="55">
        <f>G60</f>
        <v/>
      </c>
      <c r="D61" s="55">
        <f>IF(58&lt;=Inputs!C10*Inputs!C8,Inputs!C6/(Inputs!C10*Inputs!C8)+Inputs!C6*Inputs!C7/Inputs!C8,0)</f>
        <v/>
      </c>
      <c r="E61" s="55">
        <f>C61*Inputs!C7/Inputs!C8</f>
        <v/>
      </c>
      <c r="F61" s="55">
        <f>D61-E61</f>
        <v/>
      </c>
      <c r="G61" s="55">
        <f>C61-F61</f>
        <v/>
      </c>
      <c r="H61" s="55">
        <f>G60+E61</f>
        <v/>
      </c>
    </row>
    <row r="62" ht="18" customHeight="1">
      <c r="B62" s="22" t="n">
        <v>59</v>
      </c>
      <c r="C62" s="54">
        <f>G61</f>
        <v/>
      </c>
      <c r="D62" s="54">
        <f>IF(59&lt;=Inputs!C10*Inputs!C8,Inputs!C6/(Inputs!C10*Inputs!C8)+Inputs!C6*Inputs!C7/Inputs!C8,0)</f>
        <v/>
      </c>
      <c r="E62" s="54">
        <f>C62*Inputs!C7/Inputs!C8</f>
        <v/>
      </c>
      <c r="F62" s="54">
        <f>D62-E62</f>
        <v/>
      </c>
      <c r="G62" s="54">
        <f>C62-F62</f>
        <v/>
      </c>
      <c r="H62" s="54">
        <f>G61+E62</f>
        <v/>
      </c>
    </row>
    <row r="63" ht="18" customHeight="1">
      <c r="B63" s="26" t="n">
        <v>60</v>
      </c>
      <c r="C63" s="55">
        <f>G62</f>
        <v/>
      </c>
      <c r="D63" s="55">
        <f>IF(60&lt;=Inputs!C10*Inputs!C8,Inputs!C6/(Inputs!C10*Inputs!C8)+Inputs!C6*Inputs!C7/Inputs!C8,0)</f>
        <v/>
      </c>
      <c r="E63" s="55">
        <f>C63*Inputs!C7/Inputs!C8</f>
        <v/>
      </c>
      <c r="F63" s="55">
        <f>D63-E63</f>
        <v/>
      </c>
      <c r="G63" s="55">
        <f>C63-F63</f>
        <v/>
      </c>
      <c r="H63" s="55">
        <f>G62+E63</f>
        <v/>
      </c>
    </row>
    <row r="64" ht="18" customHeight="1">
      <c r="B64" s="22" t="n">
        <v>61</v>
      </c>
      <c r="C64" s="54">
        <f>G63</f>
        <v/>
      </c>
      <c r="D64" s="54">
        <f>IF(61&lt;=Inputs!C10*Inputs!C8,Inputs!C6/(Inputs!C10*Inputs!C8)+Inputs!C6*Inputs!C7/Inputs!C8,0)</f>
        <v/>
      </c>
      <c r="E64" s="54">
        <f>C64*Inputs!C7/Inputs!C8</f>
        <v/>
      </c>
      <c r="F64" s="54">
        <f>D64-E64</f>
        <v/>
      </c>
      <c r="G64" s="54">
        <f>C64-F64</f>
        <v/>
      </c>
      <c r="H64" s="54">
        <f>G63+E64</f>
        <v/>
      </c>
    </row>
    <row r="65" ht="18" customHeight="1">
      <c r="B65" s="26" t="n">
        <v>62</v>
      </c>
      <c r="C65" s="55">
        <f>G64</f>
        <v/>
      </c>
      <c r="D65" s="55">
        <f>IF(62&lt;=Inputs!C10*Inputs!C8,Inputs!C6/(Inputs!C10*Inputs!C8)+Inputs!C6*Inputs!C7/Inputs!C8,0)</f>
        <v/>
      </c>
      <c r="E65" s="55">
        <f>C65*Inputs!C7/Inputs!C8</f>
        <v/>
      </c>
      <c r="F65" s="55">
        <f>D65-E65</f>
        <v/>
      </c>
      <c r="G65" s="55">
        <f>C65-F65</f>
        <v/>
      </c>
      <c r="H65" s="55">
        <f>G64+E65</f>
        <v/>
      </c>
    </row>
    <row r="66" ht="18" customHeight="1">
      <c r="B66" s="22" t="n">
        <v>63</v>
      </c>
      <c r="C66" s="54">
        <f>G65</f>
        <v/>
      </c>
      <c r="D66" s="54">
        <f>IF(63&lt;=Inputs!C10*Inputs!C8,Inputs!C6/(Inputs!C10*Inputs!C8)+Inputs!C6*Inputs!C7/Inputs!C8,0)</f>
        <v/>
      </c>
      <c r="E66" s="54">
        <f>C66*Inputs!C7/Inputs!C8</f>
        <v/>
      </c>
      <c r="F66" s="54">
        <f>D66-E66</f>
        <v/>
      </c>
      <c r="G66" s="54">
        <f>C66-F66</f>
        <v/>
      </c>
      <c r="H66" s="54">
        <f>G65+E66</f>
        <v/>
      </c>
    </row>
    <row r="67" ht="18" customHeight="1">
      <c r="B67" s="26" t="n">
        <v>64</v>
      </c>
      <c r="C67" s="55">
        <f>G66</f>
        <v/>
      </c>
      <c r="D67" s="55">
        <f>IF(64&lt;=Inputs!C10*Inputs!C8,Inputs!C6/(Inputs!C10*Inputs!C8)+Inputs!C6*Inputs!C7/Inputs!C8,0)</f>
        <v/>
      </c>
      <c r="E67" s="55">
        <f>C67*Inputs!C7/Inputs!C8</f>
        <v/>
      </c>
      <c r="F67" s="55">
        <f>D67-E67</f>
        <v/>
      </c>
      <c r="G67" s="55">
        <f>C67-F67</f>
        <v/>
      </c>
      <c r="H67" s="55">
        <f>G66+E67</f>
        <v/>
      </c>
    </row>
    <row r="68" ht="18" customHeight="1">
      <c r="B68" s="22" t="n">
        <v>65</v>
      </c>
      <c r="C68" s="54">
        <f>G67</f>
        <v/>
      </c>
      <c r="D68" s="54">
        <f>IF(65&lt;=Inputs!C10*Inputs!C8,Inputs!C6/(Inputs!C10*Inputs!C8)+Inputs!C6*Inputs!C7/Inputs!C8,0)</f>
        <v/>
      </c>
      <c r="E68" s="54">
        <f>C68*Inputs!C7/Inputs!C8</f>
        <v/>
      </c>
      <c r="F68" s="54">
        <f>D68-E68</f>
        <v/>
      </c>
      <c r="G68" s="54">
        <f>C68-F68</f>
        <v/>
      </c>
      <c r="H68" s="54">
        <f>G67+E68</f>
        <v/>
      </c>
    </row>
    <row r="69" ht="18" customHeight="1">
      <c r="B69" s="26" t="n">
        <v>66</v>
      </c>
      <c r="C69" s="55">
        <f>G68</f>
        <v/>
      </c>
      <c r="D69" s="55">
        <f>IF(66&lt;=Inputs!C10*Inputs!C8,Inputs!C6/(Inputs!C10*Inputs!C8)+Inputs!C6*Inputs!C7/Inputs!C8,0)</f>
        <v/>
      </c>
      <c r="E69" s="55">
        <f>C69*Inputs!C7/Inputs!C8</f>
        <v/>
      </c>
      <c r="F69" s="55">
        <f>D69-E69</f>
        <v/>
      </c>
      <c r="G69" s="55">
        <f>C69-F69</f>
        <v/>
      </c>
      <c r="H69" s="55">
        <f>G68+E69</f>
        <v/>
      </c>
    </row>
    <row r="70" ht="18" customHeight="1">
      <c r="B70" s="22" t="n">
        <v>67</v>
      </c>
      <c r="C70" s="54">
        <f>G69</f>
        <v/>
      </c>
      <c r="D70" s="54">
        <f>IF(67&lt;=Inputs!C10*Inputs!C8,Inputs!C6/(Inputs!C10*Inputs!C8)+Inputs!C6*Inputs!C7/Inputs!C8,0)</f>
        <v/>
      </c>
      <c r="E70" s="54">
        <f>C70*Inputs!C7/Inputs!C8</f>
        <v/>
      </c>
      <c r="F70" s="54">
        <f>D70-E70</f>
        <v/>
      </c>
      <c r="G70" s="54">
        <f>C70-F70</f>
        <v/>
      </c>
      <c r="H70" s="54">
        <f>G69+E70</f>
        <v/>
      </c>
    </row>
    <row r="71" ht="18" customHeight="1">
      <c r="B71" s="26" t="n">
        <v>68</v>
      </c>
      <c r="C71" s="55">
        <f>G70</f>
        <v/>
      </c>
      <c r="D71" s="55">
        <f>IF(68&lt;=Inputs!C10*Inputs!C8,Inputs!C6/(Inputs!C10*Inputs!C8)+Inputs!C6*Inputs!C7/Inputs!C8,0)</f>
        <v/>
      </c>
      <c r="E71" s="55">
        <f>C71*Inputs!C7/Inputs!C8</f>
        <v/>
      </c>
      <c r="F71" s="55">
        <f>D71-E71</f>
        <v/>
      </c>
      <c r="G71" s="55">
        <f>C71-F71</f>
        <v/>
      </c>
      <c r="H71" s="55">
        <f>G70+E71</f>
        <v/>
      </c>
    </row>
    <row r="72" ht="18" customHeight="1">
      <c r="B72" s="22" t="n">
        <v>69</v>
      </c>
      <c r="C72" s="54">
        <f>G71</f>
        <v/>
      </c>
      <c r="D72" s="54">
        <f>IF(69&lt;=Inputs!C10*Inputs!C8,Inputs!C6/(Inputs!C10*Inputs!C8)+Inputs!C6*Inputs!C7/Inputs!C8,0)</f>
        <v/>
      </c>
      <c r="E72" s="54">
        <f>C72*Inputs!C7/Inputs!C8</f>
        <v/>
      </c>
      <c r="F72" s="54">
        <f>D72-E72</f>
        <v/>
      </c>
      <c r="G72" s="54">
        <f>C72-F72</f>
        <v/>
      </c>
      <c r="H72" s="54">
        <f>G71+E72</f>
        <v/>
      </c>
    </row>
    <row r="73" ht="18" customHeight="1">
      <c r="B73" s="26" t="n">
        <v>70</v>
      </c>
      <c r="C73" s="55">
        <f>G72</f>
        <v/>
      </c>
      <c r="D73" s="55">
        <f>IF(70&lt;=Inputs!C10*Inputs!C8,Inputs!C6/(Inputs!C10*Inputs!C8)+Inputs!C6*Inputs!C7/Inputs!C8,0)</f>
        <v/>
      </c>
      <c r="E73" s="55">
        <f>C73*Inputs!C7/Inputs!C8</f>
        <v/>
      </c>
      <c r="F73" s="55">
        <f>D73-E73</f>
        <v/>
      </c>
      <c r="G73" s="55">
        <f>C73-F73</f>
        <v/>
      </c>
      <c r="H73" s="55">
        <f>G72+E73</f>
        <v/>
      </c>
    </row>
    <row r="74" ht="18" customHeight="1">
      <c r="B74" s="22" t="n">
        <v>71</v>
      </c>
      <c r="C74" s="54">
        <f>G73</f>
        <v/>
      </c>
      <c r="D74" s="54">
        <f>IF(71&lt;=Inputs!C10*Inputs!C8,Inputs!C6/(Inputs!C10*Inputs!C8)+Inputs!C6*Inputs!C7/Inputs!C8,0)</f>
        <v/>
      </c>
      <c r="E74" s="54">
        <f>C74*Inputs!C7/Inputs!C8</f>
        <v/>
      </c>
      <c r="F74" s="54">
        <f>D74-E74</f>
        <v/>
      </c>
      <c r="G74" s="54">
        <f>C74-F74</f>
        <v/>
      </c>
      <c r="H74" s="54">
        <f>G73+E74</f>
        <v/>
      </c>
    </row>
    <row r="75" ht="18" customHeight="1">
      <c r="B75" s="26" t="n">
        <v>72</v>
      </c>
      <c r="C75" s="55">
        <f>G74</f>
        <v/>
      </c>
      <c r="D75" s="55">
        <f>IF(72&lt;=Inputs!C10*Inputs!C8,Inputs!C6/(Inputs!C10*Inputs!C8)+Inputs!C6*Inputs!C7/Inputs!C8,0)</f>
        <v/>
      </c>
      <c r="E75" s="55">
        <f>C75*Inputs!C7/Inputs!C8</f>
        <v/>
      </c>
      <c r="F75" s="55">
        <f>D75-E75</f>
        <v/>
      </c>
      <c r="G75" s="55">
        <f>C75-F75</f>
        <v/>
      </c>
      <c r="H75" s="55">
        <f>G74+E75</f>
        <v/>
      </c>
    </row>
    <row r="76" ht="18" customHeight="1">
      <c r="B76" s="22" t="n">
        <v>73</v>
      </c>
      <c r="C76" s="54">
        <f>G75</f>
        <v/>
      </c>
      <c r="D76" s="54">
        <f>IF(73&lt;=Inputs!C10*Inputs!C8,Inputs!C6/(Inputs!C10*Inputs!C8)+Inputs!C6*Inputs!C7/Inputs!C8,0)</f>
        <v/>
      </c>
      <c r="E76" s="54">
        <f>C76*Inputs!C7/Inputs!C8</f>
        <v/>
      </c>
      <c r="F76" s="54">
        <f>D76-E76</f>
        <v/>
      </c>
      <c r="G76" s="54">
        <f>C76-F76</f>
        <v/>
      </c>
      <c r="H76" s="54">
        <f>G75+E76</f>
        <v/>
      </c>
    </row>
    <row r="77" ht="18" customHeight="1">
      <c r="B77" s="26" t="n">
        <v>74</v>
      </c>
      <c r="C77" s="55">
        <f>G76</f>
        <v/>
      </c>
      <c r="D77" s="55">
        <f>IF(74&lt;=Inputs!C10*Inputs!C8,Inputs!C6/(Inputs!C10*Inputs!C8)+Inputs!C6*Inputs!C7/Inputs!C8,0)</f>
        <v/>
      </c>
      <c r="E77" s="55">
        <f>C77*Inputs!C7/Inputs!C8</f>
        <v/>
      </c>
      <c r="F77" s="55">
        <f>D77-E77</f>
        <v/>
      </c>
      <c r="G77" s="55">
        <f>C77-F77</f>
        <v/>
      </c>
      <c r="H77" s="55">
        <f>G76+E77</f>
        <v/>
      </c>
    </row>
    <row r="78" ht="18" customHeight="1">
      <c r="B78" s="22" t="n">
        <v>75</v>
      </c>
      <c r="C78" s="54">
        <f>G77</f>
        <v/>
      </c>
      <c r="D78" s="54">
        <f>IF(75&lt;=Inputs!C10*Inputs!C8,Inputs!C6/(Inputs!C10*Inputs!C8)+Inputs!C6*Inputs!C7/Inputs!C8,0)</f>
        <v/>
      </c>
      <c r="E78" s="54">
        <f>C78*Inputs!C7/Inputs!C8</f>
        <v/>
      </c>
      <c r="F78" s="54">
        <f>D78-E78</f>
        <v/>
      </c>
      <c r="G78" s="54">
        <f>C78-F78</f>
        <v/>
      </c>
      <c r="H78" s="54">
        <f>G77+E78</f>
        <v/>
      </c>
    </row>
    <row r="79" ht="18" customHeight="1">
      <c r="B79" s="26" t="n">
        <v>76</v>
      </c>
      <c r="C79" s="55">
        <f>G78</f>
        <v/>
      </c>
      <c r="D79" s="55">
        <f>IF(76&lt;=Inputs!C10*Inputs!C8,Inputs!C6/(Inputs!C10*Inputs!C8)+Inputs!C6*Inputs!C7/Inputs!C8,0)</f>
        <v/>
      </c>
      <c r="E79" s="55">
        <f>C79*Inputs!C7/Inputs!C8</f>
        <v/>
      </c>
      <c r="F79" s="55">
        <f>D79-E79</f>
        <v/>
      </c>
      <c r="G79" s="55">
        <f>C79-F79</f>
        <v/>
      </c>
      <c r="H79" s="55">
        <f>G78+E79</f>
        <v/>
      </c>
    </row>
    <row r="80" ht="18" customHeight="1">
      <c r="B80" s="22" t="n">
        <v>77</v>
      </c>
      <c r="C80" s="54">
        <f>G79</f>
        <v/>
      </c>
      <c r="D80" s="54">
        <f>IF(77&lt;=Inputs!C10*Inputs!C8,Inputs!C6/(Inputs!C10*Inputs!C8)+Inputs!C6*Inputs!C7/Inputs!C8,0)</f>
        <v/>
      </c>
      <c r="E80" s="54">
        <f>C80*Inputs!C7/Inputs!C8</f>
        <v/>
      </c>
      <c r="F80" s="54">
        <f>D80-E80</f>
        <v/>
      </c>
      <c r="G80" s="54">
        <f>C80-F80</f>
        <v/>
      </c>
      <c r="H80" s="54">
        <f>G79+E80</f>
        <v/>
      </c>
    </row>
    <row r="81" ht="18" customHeight="1">
      <c r="B81" s="26" t="n">
        <v>78</v>
      </c>
      <c r="C81" s="55">
        <f>G80</f>
        <v/>
      </c>
      <c r="D81" s="55">
        <f>IF(78&lt;=Inputs!C10*Inputs!C8,Inputs!C6/(Inputs!C10*Inputs!C8)+Inputs!C6*Inputs!C7/Inputs!C8,0)</f>
        <v/>
      </c>
      <c r="E81" s="55">
        <f>C81*Inputs!C7/Inputs!C8</f>
        <v/>
      </c>
      <c r="F81" s="55">
        <f>D81-E81</f>
        <v/>
      </c>
      <c r="G81" s="55">
        <f>C81-F81</f>
        <v/>
      </c>
      <c r="H81" s="55">
        <f>G80+E81</f>
        <v/>
      </c>
    </row>
    <row r="82" ht="18" customHeight="1">
      <c r="B82" s="22" t="n">
        <v>79</v>
      </c>
      <c r="C82" s="54">
        <f>G81</f>
        <v/>
      </c>
      <c r="D82" s="54">
        <f>IF(79&lt;=Inputs!C10*Inputs!C8,Inputs!C6/(Inputs!C10*Inputs!C8)+Inputs!C6*Inputs!C7/Inputs!C8,0)</f>
        <v/>
      </c>
      <c r="E82" s="54">
        <f>C82*Inputs!C7/Inputs!C8</f>
        <v/>
      </c>
      <c r="F82" s="54">
        <f>D82-E82</f>
        <v/>
      </c>
      <c r="G82" s="54">
        <f>C82-F82</f>
        <v/>
      </c>
      <c r="H82" s="54">
        <f>G81+E82</f>
        <v/>
      </c>
    </row>
    <row r="83" ht="18" customHeight="1">
      <c r="B83" s="26" t="n">
        <v>80</v>
      </c>
      <c r="C83" s="55">
        <f>G82</f>
        <v/>
      </c>
      <c r="D83" s="55">
        <f>IF(80&lt;=Inputs!C10*Inputs!C8,Inputs!C6/(Inputs!C10*Inputs!C8)+Inputs!C6*Inputs!C7/Inputs!C8,0)</f>
        <v/>
      </c>
      <c r="E83" s="55">
        <f>C83*Inputs!C7/Inputs!C8</f>
        <v/>
      </c>
      <c r="F83" s="55">
        <f>D83-E83</f>
        <v/>
      </c>
      <c r="G83" s="55">
        <f>C83-F83</f>
        <v/>
      </c>
      <c r="H83" s="55">
        <f>G82+E83</f>
        <v/>
      </c>
    </row>
    <row r="84" ht="18" customHeight="1">
      <c r="B84" s="22" t="n">
        <v>81</v>
      </c>
      <c r="C84" s="54">
        <f>G83</f>
        <v/>
      </c>
      <c r="D84" s="54">
        <f>IF(81&lt;=Inputs!C10*Inputs!C8,Inputs!C6/(Inputs!C10*Inputs!C8)+Inputs!C6*Inputs!C7/Inputs!C8,0)</f>
        <v/>
      </c>
      <c r="E84" s="54">
        <f>C84*Inputs!C7/Inputs!C8</f>
        <v/>
      </c>
      <c r="F84" s="54">
        <f>D84-E84</f>
        <v/>
      </c>
      <c r="G84" s="54">
        <f>C84-F84</f>
        <v/>
      </c>
      <c r="H84" s="54">
        <f>G83+E84</f>
        <v/>
      </c>
    </row>
    <row r="85" ht="18" customHeight="1">
      <c r="B85" s="26" t="n">
        <v>82</v>
      </c>
      <c r="C85" s="55">
        <f>G84</f>
        <v/>
      </c>
      <c r="D85" s="55">
        <f>IF(82&lt;=Inputs!C10*Inputs!C8,Inputs!C6/(Inputs!C10*Inputs!C8)+Inputs!C6*Inputs!C7/Inputs!C8,0)</f>
        <v/>
      </c>
      <c r="E85" s="55">
        <f>C85*Inputs!C7/Inputs!C8</f>
        <v/>
      </c>
      <c r="F85" s="55">
        <f>D85-E85</f>
        <v/>
      </c>
      <c r="G85" s="55">
        <f>C85-F85</f>
        <v/>
      </c>
      <c r="H85" s="55">
        <f>G84+E85</f>
        <v/>
      </c>
    </row>
    <row r="86" ht="18" customHeight="1">
      <c r="B86" s="22" t="n">
        <v>83</v>
      </c>
      <c r="C86" s="54">
        <f>G85</f>
        <v/>
      </c>
      <c r="D86" s="54">
        <f>IF(83&lt;=Inputs!C10*Inputs!C8,Inputs!C6/(Inputs!C10*Inputs!C8)+Inputs!C6*Inputs!C7/Inputs!C8,0)</f>
        <v/>
      </c>
      <c r="E86" s="54">
        <f>C86*Inputs!C7/Inputs!C8</f>
        <v/>
      </c>
      <c r="F86" s="54">
        <f>D86-E86</f>
        <v/>
      </c>
      <c r="G86" s="54">
        <f>C86-F86</f>
        <v/>
      </c>
      <c r="H86" s="54">
        <f>G85+E86</f>
        <v/>
      </c>
    </row>
    <row r="87" ht="18" customHeight="1">
      <c r="B87" s="26" t="n">
        <v>84</v>
      </c>
      <c r="C87" s="55">
        <f>G86</f>
        <v/>
      </c>
      <c r="D87" s="55">
        <f>IF(84&lt;=Inputs!C10*Inputs!C8,Inputs!C6/(Inputs!C10*Inputs!C8)+Inputs!C6*Inputs!C7/Inputs!C8,0)</f>
        <v/>
      </c>
      <c r="E87" s="55">
        <f>C87*Inputs!C7/Inputs!C8</f>
        <v/>
      </c>
      <c r="F87" s="55">
        <f>D87-E87</f>
        <v/>
      </c>
      <c r="G87" s="55">
        <f>C87-F87</f>
        <v/>
      </c>
      <c r="H87" s="55">
        <f>G86+E87</f>
        <v/>
      </c>
    </row>
    <row r="88" ht="18" customHeight="1">
      <c r="B88" s="22" t="n">
        <v>85</v>
      </c>
      <c r="C88" s="54">
        <f>G87</f>
        <v/>
      </c>
      <c r="D88" s="54">
        <f>IF(85&lt;=Inputs!C10*Inputs!C8,Inputs!C6/(Inputs!C10*Inputs!C8)+Inputs!C6*Inputs!C7/Inputs!C8,0)</f>
        <v/>
      </c>
      <c r="E88" s="54">
        <f>C88*Inputs!C7/Inputs!C8</f>
        <v/>
      </c>
      <c r="F88" s="54">
        <f>D88-E88</f>
        <v/>
      </c>
      <c r="G88" s="54">
        <f>C88-F88</f>
        <v/>
      </c>
      <c r="H88" s="54">
        <f>G87+E88</f>
        <v/>
      </c>
    </row>
    <row r="89" ht="18" customHeight="1">
      <c r="B89" s="26" t="n">
        <v>86</v>
      </c>
      <c r="C89" s="55">
        <f>G88</f>
        <v/>
      </c>
      <c r="D89" s="55">
        <f>IF(86&lt;=Inputs!C10*Inputs!C8,Inputs!C6/(Inputs!C10*Inputs!C8)+Inputs!C6*Inputs!C7/Inputs!C8,0)</f>
        <v/>
      </c>
      <c r="E89" s="55">
        <f>C89*Inputs!C7/Inputs!C8</f>
        <v/>
      </c>
      <c r="F89" s="55">
        <f>D89-E89</f>
        <v/>
      </c>
      <c r="G89" s="55">
        <f>C89-F89</f>
        <v/>
      </c>
      <c r="H89" s="55">
        <f>G88+E89</f>
        <v/>
      </c>
    </row>
    <row r="90" ht="18" customHeight="1">
      <c r="B90" s="22" t="n">
        <v>87</v>
      </c>
      <c r="C90" s="54">
        <f>G89</f>
        <v/>
      </c>
      <c r="D90" s="54">
        <f>IF(87&lt;=Inputs!C10*Inputs!C8,Inputs!C6/(Inputs!C10*Inputs!C8)+Inputs!C6*Inputs!C7/Inputs!C8,0)</f>
        <v/>
      </c>
      <c r="E90" s="54">
        <f>C90*Inputs!C7/Inputs!C8</f>
        <v/>
      </c>
      <c r="F90" s="54">
        <f>D90-E90</f>
        <v/>
      </c>
      <c r="G90" s="54">
        <f>C90-F90</f>
        <v/>
      </c>
      <c r="H90" s="54">
        <f>G89+E90</f>
        <v/>
      </c>
    </row>
    <row r="91" ht="18" customHeight="1">
      <c r="B91" s="26" t="n">
        <v>88</v>
      </c>
      <c r="C91" s="55">
        <f>G90</f>
        <v/>
      </c>
      <c r="D91" s="55">
        <f>IF(88&lt;=Inputs!C10*Inputs!C8,Inputs!C6/(Inputs!C10*Inputs!C8)+Inputs!C6*Inputs!C7/Inputs!C8,0)</f>
        <v/>
      </c>
      <c r="E91" s="55">
        <f>C91*Inputs!C7/Inputs!C8</f>
        <v/>
      </c>
      <c r="F91" s="55">
        <f>D91-E91</f>
        <v/>
      </c>
      <c r="G91" s="55">
        <f>C91-F91</f>
        <v/>
      </c>
      <c r="H91" s="55">
        <f>G90+E91</f>
        <v/>
      </c>
    </row>
    <row r="92" ht="18" customHeight="1">
      <c r="B92" s="22" t="n">
        <v>89</v>
      </c>
      <c r="C92" s="54">
        <f>G91</f>
        <v/>
      </c>
      <c r="D92" s="54">
        <f>IF(89&lt;=Inputs!C10*Inputs!C8,Inputs!C6/(Inputs!C10*Inputs!C8)+Inputs!C6*Inputs!C7/Inputs!C8,0)</f>
        <v/>
      </c>
      <c r="E92" s="54">
        <f>C92*Inputs!C7/Inputs!C8</f>
        <v/>
      </c>
      <c r="F92" s="54">
        <f>D92-E92</f>
        <v/>
      </c>
      <c r="G92" s="54">
        <f>C92-F92</f>
        <v/>
      </c>
      <c r="H92" s="54">
        <f>G91+E92</f>
        <v/>
      </c>
    </row>
    <row r="93" ht="18" customHeight="1">
      <c r="B93" s="26" t="n">
        <v>90</v>
      </c>
      <c r="C93" s="55">
        <f>G92</f>
        <v/>
      </c>
      <c r="D93" s="55">
        <f>IF(90&lt;=Inputs!C10*Inputs!C8,Inputs!C6/(Inputs!C10*Inputs!C8)+Inputs!C6*Inputs!C7/Inputs!C8,0)</f>
        <v/>
      </c>
      <c r="E93" s="55">
        <f>C93*Inputs!C7/Inputs!C8</f>
        <v/>
      </c>
      <c r="F93" s="55">
        <f>D93-E93</f>
        <v/>
      </c>
      <c r="G93" s="55">
        <f>C93-F93</f>
        <v/>
      </c>
      <c r="H93" s="55">
        <f>G92+E93</f>
        <v/>
      </c>
    </row>
    <row r="94" ht="18" customHeight="1">
      <c r="B94" s="22" t="n">
        <v>91</v>
      </c>
      <c r="C94" s="54">
        <f>G93</f>
        <v/>
      </c>
      <c r="D94" s="54">
        <f>IF(91&lt;=Inputs!C10*Inputs!C8,Inputs!C6/(Inputs!C10*Inputs!C8)+Inputs!C6*Inputs!C7/Inputs!C8,0)</f>
        <v/>
      </c>
      <c r="E94" s="54">
        <f>C94*Inputs!C7/Inputs!C8</f>
        <v/>
      </c>
      <c r="F94" s="54">
        <f>D94-E94</f>
        <v/>
      </c>
      <c r="G94" s="54">
        <f>C94-F94</f>
        <v/>
      </c>
      <c r="H94" s="54">
        <f>G93+E94</f>
        <v/>
      </c>
    </row>
    <row r="95" ht="18" customHeight="1">
      <c r="B95" s="26" t="n">
        <v>92</v>
      </c>
      <c r="C95" s="55">
        <f>G94</f>
        <v/>
      </c>
      <c r="D95" s="55">
        <f>IF(92&lt;=Inputs!C10*Inputs!C8,Inputs!C6/(Inputs!C10*Inputs!C8)+Inputs!C6*Inputs!C7/Inputs!C8,0)</f>
        <v/>
      </c>
      <c r="E95" s="55">
        <f>C95*Inputs!C7/Inputs!C8</f>
        <v/>
      </c>
      <c r="F95" s="55">
        <f>D95-E95</f>
        <v/>
      </c>
      <c r="G95" s="55">
        <f>C95-F95</f>
        <v/>
      </c>
      <c r="H95" s="55">
        <f>G94+E95</f>
        <v/>
      </c>
    </row>
    <row r="96" ht="18" customHeight="1">
      <c r="B96" s="22" t="n">
        <v>93</v>
      </c>
      <c r="C96" s="54">
        <f>G95</f>
        <v/>
      </c>
      <c r="D96" s="54">
        <f>IF(93&lt;=Inputs!C10*Inputs!C8,Inputs!C6/(Inputs!C10*Inputs!C8)+Inputs!C6*Inputs!C7/Inputs!C8,0)</f>
        <v/>
      </c>
      <c r="E96" s="54">
        <f>C96*Inputs!C7/Inputs!C8</f>
        <v/>
      </c>
      <c r="F96" s="54">
        <f>D96-E96</f>
        <v/>
      </c>
      <c r="G96" s="54">
        <f>C96-F96</f>
        <v/>
      </c>
      <c r="H96" s="54">
        <f>G95+E96</f>
        <v/>
      </c>
    </row>
    <row r="97" ht="18" customHeight="1">
      <c r="B97" s="26" t="n">
        <v>94</v>
      </c>
      <c r="C97" s="55">
        <f>G96</f>
        <v/>
      </c>
      <c r="D97" s="55">
        <f>IF(94&lt;=Inputs!C10*Inputs!C8,Inputs!C6/(Inputs!C10*Inputs!C8)+Inputs!C6*Inputs!C7/Inputs!C8,0)</f>
        <v/>
      </c>
      <c r="E97" s="55">
        <f>C97*Inputs!C7/Inputs!C8</f>
        <v/>
      </c>
      <c r="F97" s="55">
        <f>D97-E97</f>
        <v/>
      </c>
      <c r="G97" s="55">
        <f>C97-F97</f>
        <v/>
      </c>
      <c r="H97" s="55">
        <f>G96+E97</f>
        <v/>
      </c>
    </row>
    <row r="98" ht="18" customHeight="1">
      <c r="B98" s="22" t="n">
        <v>95</v>
      </c>
      <c r="C98" s="54">
        <f>G97</f>
        <v/>
      </c>
      <c r="D98" s="54">
        <f>IF(95&lt;=Inputs!C10*Inputs!C8,Inputs!C6/(Inputs!C10*Inputs!C8)+Inputs!C6*Inputs!C7/Inputs!C8,0)</f>
        <v/>
      </c>
      <c r="E98" s="54">
        <f>C98*Inputs!C7/Inputs!C8</f>
        <v/>
      </c>
      <c r="F98" s="54">
        <f>D98-E98</f>
        <v/>
      </c>
      <c r="G98" s="54">
        <f>C98-F98</f>
        <v/>
      </c>
      <c r="H98" s="54">
        <f>G97+E98</f>
        <v/>
      </c>
    </row>
    <row r="99" ht="18" customHeight="1">
      <c r="B99" s="26" t="n">
        <v>96</v>
      </c>
      <c r="C99" s="55">
        <f>G98</f>
        <v/>
      </c>
      <c r="D99" s="55">
        <f>IF(96&lt;=Inputs!C10*Inputs!C8,Inputs!C6/(Inputs!C10*Inputs!C8)+Inputs!C6*Inputs!C7/Inputs!C8,0)</f>
        <v/>
      </c>
      <c r="E99" s="55">
        <f>C99*Inputs!C7/Inputs!C8</f>
        <v/>
      </c>
      <c r="F99" s="55">
        <f>D99-E99</f>
        <v/>
      </c>
      <c r="G99" s="55">
        <f>C99-F99</f>
        <v/>
      </c>
      <c r="H99" s="55">
        <f>G98+E99</f>
        <v/>
      </c>
    </row>
    <row r="100" ht="18" customHeight="1">
      <c r="B100" s="22" t="n">
        <v>97</v>
      </c>
      <c r="C100" s="54">
        <f>G99</f>
        <v/>
      </c>
      <c r="D100" s="54">
        <f>IF(97&lt;=Inputs!C10*Inputs!C8,Inputs!C6/(Inputs!C10*Inputs!C8)+Inputs!C6*Inputs!C7/Inputs!C8,0)</f>
        <v/>
      </c>
      <c r="E100" s="54">
        <f>C100*Inputs!C7/Inputs!C8</f>
        <v/>
      </c>
      <c r="F100" s="54">
        <f>D100-E100</f>
        <v/>
      </c>
      <c r="G100" s="54">
        <f>C100-F100</f>
        <v/>
      </c>
      <c r="H100" s="54">
        <f>G99+E100</f>
        <v/>
      </c>
    </row>
    <row r="101" ht="18" customHeight="1">
      <c r="B101" s="26" t="n">
        <v>98</v>
      </c>
      <c r="C101" s="55">
        <f>G100</f>
        <v/>
      </c>
      <c r="D101" s="55">
        <f>IF(98&lt;=Inputs!C10*Inputs!C8,Inputs!C6/(Inputs!C10*Inputs!C8)+Inputs!C6*Inputs!C7/Inputs!C8,0)</f>
        <v/>
      </c>
      <c r="E101" s="55">
        <f>C101*Inputs!C7/Inputs!C8</f>
        <v/>
      </c>
      <c r="F101" s="55">
        <f>D101-E101</f>
        <v/>
      </c>
      <c r="G101" s="55">
        <f>C101-F101</f>
        <v/>
      </c>
      <c r="H101" s="55">
        <f>G100+E101</f>
        <v/>
      </c>
    </row>
    <row r="102" ht="18" customHeight="1">
      <c r="B102" s="22" t="n">
        <v>99</v>
      </c>
      <c r="C102" s="54">
        <f>G101</f>
        <v/>
      </c>
      <c r="D102" s="54">
        <f>IF(99&lt;=Inputs!C10*Inputs!C8,Inputs!C6/(Inputs!C10*Inputs!C8)+Inputs!C6*Inputs!C7/Inputs!C8,0)</f>
        <v/>
      </c>
      <c r="E102" s="54">
        <f>C102*Inputs!C7/Inputs!C8</f>
        <v/>
      </c>
      <c r="F102" s="54">
        <f>D102-E102</f>
        <v/>
      </c>
      <c r="G102" s="54">
        <f>C102-F102</f>
        <v/>
      </c>
      <c r="H102" s="54">
        <f>G101+E102</f>
        <v/>
      </c>
    </row>
    <row r="103" ht="18" customHeight="1">
      <c r="B103" s="26" t="n">
        <v>100</v>
      </c>
      <c r="C103" s="55">
        <f>G102</f>
        <v/>
      </c>
      <c r="D103" s="55">
        <f>IF(100&lt;=Inputs!C10*Inputs!C8,Inputs!C6/(Inputs!C10*Inputs!C8)+Inputs!C6*Inputs!C7/Inputs!C8,0)</f>
        <v/>
      </c>
      <c r="E103" s="55">
        <f>C103*Inputs!C7/Inputs!C8</f>
        <v/>
      </c>
      <c r="F103" s="55">
        <f>D103-E103</f>
        <v/>
      </c>
      <c r="G103" s="55">
        <f>C103-F103</f>
        <v/>
      </c>
      <c r="H103" s="55">
        <f>G102+E103</f>
        <v/>
      </c>
    </row>
    <row r="104" ht="18" customHeight="1">
      <c r="B104" s="22" t="n">
        <v>101</v>
      </c>
      <c r="C104" s="54">
        <f>G103</f>
        <v/>
      </c>
      <c r="D104" s="54">
        <f>IF(101&lt;=Inputs!C10*Inputs!C8,Inputs!C6/(Inputs!C10*Inputs!C8)+Inputs!C6*Inputs!C7/Inputs!C8,0)</f>
        <v/>
      </c>
      <c r="E104" s="54">
        <f>C104*Inputs!C7/Inputs!C8</f>
        <v/>
      </c>
      <c r="F104" s="54">
        <f>D104-E104</f>
        <v/>
      </c>
      <c r="G104" s="54">
        <f>C104-F104</f>
        <v/>
      </c>
      <c r="H104" s="54">
        <f>G103+E104</f>
        <v/>
      </c>
    </row>
    <row r="105" ht="18" customHeight="1">
      <c r="B105" s="26" t="n">
        <v>102</v>
      </c>
      <c r="C105" s="55">
        <f>G104</f>
        <v/>
      </c>
      <c r="D105" s="55">
        <f>IF(102&lt;=Inputs!C10*Inputs!C8,Inputs!C6/(Inputs!C10*Inputs!C8)+Inputs!C6*Inputs!C7/Inputs!C8,0)</f>
        <v/>
      </c>
      <c r="E105" s="55">
        <f>C105*Inputs!C7/Inputs!C8</f>
        <v/>
      </c>
      <c r="F105" s="55">
        <f>D105-E105</f>
        <v/>
      </c>
      <c r="G105" s="55">
        <f>C105-F105</f>
        <v/>
      </c>
      <c r="H105" s="55">
        <f>G104+E105</f>
        <v/>
      </c>
    </row>
    <row r="106" ht="18" customHeight="1">
      <c r="B106" s="22" t="n">
        <v>103</v>
      </c>
      <c r="C106" s="54">
        <f>G105</f>
        <v/>
      </c>
      <c r="D106" s="54">
        <f>IF(103&lt;=Inputs!C10*Inputs!C8,Inputs!C6/(Inputs!C10*Inputs!C8)+Inputs!C6*Inputs!C7/Inputs!C8,0)</f>
        <v/>
      </c>
      <c r="E106" s="54">
        <f>C106*Inputs!C7/Inputs!C8</f>
        <v/>
      </c>
      <c r="F106" s="54">
        <f>D106-E106</f>
        <v/>
      </c>
      <c r="G106" s="54">
        <f>C106-F106</f>
        <v/>
      </c>
      <c r="H106" s="54">
        <f>G105+E106</f>
        <v/>
      </c>
    </row>
    <row r="107" ht="18" customHeight="1">
      <c r="B107" s="26" t="n">
        <v>104</v>
      </c>
      <c r="C107" s="55">
        <f>G106</f>
        <v/>
      </c>
      <c r="D107" s="55">
        <f>IF(104&lt;=Inputs!C10*Inputs!C8,Inputs!C6/(Inputs!C10*Inputs!C8)+Inputs!C6*Inputs!C7/Inputs!C8,0)</f>
        <v/>
      </c>
      <c r="E107" s="55">
        <f>C107*Inputs!C7/Inputs!C8</f>
        <v/>
      </c>
      <c r="F107" s="55">
        <f>D107-E107</f>
        <v/>
      </c>
      <c r="G107" s="55">
        <f>C107-F107</f>
        <v/>
      </c>
      <c r="H107" s="55">
        <f>G106+E107</f>
        <v/>
      </c>
    </row>
    <row r="108" ht="18" customHeight="1">
      <c r="B108" s="22" t="n">
        <v>105</v>
      </c>
      <c r="C108" s="54">
        <f>G107</f>
        <v/>
      </c>
      <c r="D108" s="54">
        <f>IF(105&lt;=Inputs!C10*Inputs!C8,Inputs!C6/(Inputs!C10*Inputs!C8)+Inputs!C6*Inputs!C7/Inputs!C8,0)</f>
        <v/>
      </c>
      <c r="E108" s="54">
        <f>C108*Inputs!C7/Inputs!C8</f>
        <v/>
      </c>
      <c r="F108" s="54">
        <f>D108-E108</f>
        <v/>
      </c>
      <c r="G108" s="54">
        <f>C108-F108</f>
        <v/>
      </c>
      <c r="H108" s="54">
        <f>G107+E108</f>
        <v/>
      </c>
    </row>
    <row r="109" ht="18" customHeight="1">
      <c r="B109" s="26" t="n">
        <v>106</v>
      </c>
      <c r="C109" s="55">
        <f>G108</f>
        <v/>
      </c>
      <c r="D109" s="55">
        <f>IF(106&lt;=Inputs!C10*Inputs!C8,Inputs!C6/(Inputs!C10*Inputs!C8)+Inputs!C6*Inputs!C7/Inputs!C8,0)</f>
        <v/>
      </c>
      <c r="E109" s="55">
        <f>C109*Inputs!C7/Inputs!C8</f>
        <v/>
      </c>
      <c r="F109" s="55">
        <f>D109-E109</f>
        <v/>
      </c>
      <c r="G109" s="55">
        <f>C109-F109</f>
        <v/>
      </c>
      <c r="H109" s="55">
        <f>G108+E109</f>
        <v/>
      </c>
    </row>
    <row r="110" ht="18" customHeight="1">
      <c r="B110" s="22" t="n">
        <v>107</v>
      </c>
      <c r="C110" s="54">
        <f>G109</f>
        <v/>
      </c>
      <c r="D110" s="54">
        <f>IF(107&lt;=Inputs!C10*Inputs!C8,Inputs!C6/(Inputs!C10*Inputs!C8)+Inputs!C6*Inputs!C7/Inputs!C8,0)</f>
        <v/>
      </c>
      <c r="E110" s="54">
        <f>C110*Inputs!C7/Inputs!C8</f>
        <v/>
      </c>
      <c r="F110" s="54">
        <f>D110-E110</f>
        <v/>
      </c>
      <c r="G110" s="54">
        <f>C110-F110</f>
        <v/>
      </c>
      <c r="H110" s="54">
        <f>G109+E110</f>
        <v/>
      </c>
    </row>
    <row r="111" ht="18" customHeight="1">
      <c r="B111" s="26" t="n">
        <v>108</v>
      </c>
      <c r="C111" s="55">
        <f>G110</f>
        <v/>
      </c>
      <c r="D111" s="55">
        <f>IF(108&lt;=Inputs!C10*Inputs!C8,Inputs!C6/(Inputs!C10*Inputs!C8)+Inputs!C6*Inputs!C7/Inputs!C8,0)</f>
        <v/>
      </c>
      <c r="E111" s="55">
        <f>C111*Inputs!C7/Inputs!C8</f>
        <v/>
      </c>
      <c r="F111" s="55">
        <f>D111-E111</f>
        <v/>
      </c>
      <c r="G111" s="55">
        <f>C111-F111</f>
        <v/>
      </c>
      <c r="H111" s="55">
        <f>G110+E111</f>
        <v/>
      </c>
    </row>
    <row r="112" ht="18" customHeight="1">
      <c r="B112" s="22" t="n">
        <v>109</v>
      </c>
      <c r="C112" s="54">
        <f>G111</f>
        <v/>
      </c>
      <c r="D112" s="54">
        <f>IF(109&lt;=Inputs!C10*Inputs!C8,Inputs!C6/(Inputs!C10*Inputs!C8)+Inputs!C6*Inputs!C7/Inputs!C8,0)</f>
        <v/>
      </c>
      <c r="E112" s="54">
        <f>C112*Inputs!C7/Inputs!C8</f>
        <v/>
      </c>
      <c r="F112" s="54">
        <f>D112-E112</f>
        <v/>
      </c>
      <c r="G112" s="54">
        <f>C112-F112</f>
        <v/>
      </c>
      <c r="H112" s="54">
        <f>G111+E112</f>
        <v/>
      </c>
    </row>
    <row r="113" ht="18" customHeight="1">
      <c r="B113" s="26" t="n">
        <v>110</v>
      </c>
      <c r="C113" s="55">
        <f>G112</f>
        <v/>
      </c>
      <c r="D113" s="55">
        <f>IF(110&lt;=Inputs!C10*Inputs!C8,Inputs!C6/(Inputs!C10*Inputs!C8)+Inputs!C6*Inputs!C7/Inputs!C8,0)</f>
        <v/>
      </c>
      <c r="E113" s="55">
        <f>C113*Inputs!C7/Inputs!C8</f>
        <v/>
      </c>
      <c r="F113" s="55">
        <f>D113-E113</f>
        <v/>
      </c>
      <c r="G113" s="55">
        <f>C113-F113</f>
        <v/>
      </c>
      <c r="H113" s="55">
        <f>G112+E113</f>
        <v/>
      </c>
    </row>
    <row r="114" ht="18" customHeight="1">
      <c r="B114" s="22" t="n">
        <v>111</v>
      </c>
      <c r="C114" s="54">
        <f>G113</f>
        <v/>
      </c>
      <c r="D114" s="54">
        <f>IF(111&lt;=Inputs!C10*Inputs!C8,Inputs!C6/(Inputs!C10*Inputs!C8)+Inputs!C6*Inputs!C7/Inputs!C8,0)</f>
        <v/>
      </c>
      <c r="E114" s="54">
        <f>C114*Inputs!C7/Inputs!C8</f>
        <v/>
      </c>
      <c r="F114" s="54">
        <f>D114-E114</f>
        <v/>
      </c>
      <c r="G114" s="54">
        <f>C114-F114</f>
        <v/>
      </c>
      <c r="H114" s="54">
        <f>G113+E114</f>
        <v/>
      </c>
    </row>
    <row r="115" ht="18" customHeight="1">
      <c r="B115" s="26" t="n">
        <v>112</v>
      </c>
      <c r="C115" s="55">
        <f>G114</f>
        <v/>
      </c>
      <c r="D115" s="55">
        <f>IF(112&lt;=Inputs!C10*Inputs!C8,Inputs!C6/(Inputs!C10*Inputs!C8)+Inputs!C6*Inputs!C7/Inputs!C8,0)</f>
        <v/>
      </c>
      <c r="E115" s="55">
        <f>C115*Inputs!C7/Inputs!C8</f>
        <v/>
      </c>
      <c r="F115" s="55">
        <f>D115-E115</f>
        <v/>
      </c>
      <c r="G115" s="55">
        <f>C115-F115</f>
        <v/>
      </c>
      <c r="H115" s="55">
        <f>G114+E115</f>
        <v/>
      </c>
    </row>
    <row r="116" ht="18" customHeight="1">
      <c r="B116" s="22" t="n">
        <v>113</v>
      </c>
      <c r="C116" s="54">
        <f>G115</f>
        <v/>
      </c>
      <c r="D116" s="54">
        <f>IF(113&lt;=Inputs!C10*Inputs!C8,Inputs!C6/(Inputs!C10*Inputs!C8)+Inputs!C6*Inputs!C7/Inputs!C8,0)</f>
        <v/>
      </c>
      <c r="E116" s="54">
        <f>C116*Inputs!C7/Inputs!C8</f>
        <v/>
      </c>
      <c r="F116" s="54">
        <f>D116-E116</f>
        <v/>
      </c>
      <c r="G116" s="54">
        <f>C116-F116</f>
        <v/>
      </c>
      <c r="H116" s="54">
        <f>G115+E116</f>
        <v/>
      </c>
    </row>
    <row r="117" ht="18" customHeight="1">
      <c r="B117" s="26" t="n">
        <v>114</v>
      </c>
      <c r="C117" s="55">
        <f>G116</f>
        <v/>
      </c>
      <c r="D117" s="55">
        <f>IF(114&lt;=Inputs!C10*Inputs!C8,Inputs!C6/(Inputs!C10*Inputs!C8)+Inputs!C6*Inputs!C7/Inputs!C8,0)</f>
        <v/>
      </c>
      <c r="E117" s="55">
        <f>C117*Inputs!C7/Inputs!C8</f>
        <v/>
      </c>
      <c r="F117" s="55">
        <f>D117-E117</f>
        <v/>
      </c>
      <c r="G117" s="55">
        <f>C117-F117</f>
        <v/>
      </c>
      <c r="H117" s="55">
        <f>G116+E117</f>
        <v/>
      </c>
    </row>
    <row r="118" ht="18" customHeight="1">
      <c r="B118" s="22" t="n">
        <v>115</v>
      </c>
      <c r="C118" s="54">
        <f>G117</f>
        <v/>
      </c>
      <c r="D118" s="54">
        <f>IF(115&lt;=Inputs!C10*Inputs!C8,Inputs!C6/(Inputs!C10*Inputs!C8)+Inputs!C6*Inputs!C7/Inputs!C8,0)</f>
        <v/>
      </c>
      <c r="E118" s="54">
        <f>C118*Inputs!C7/Inputs!C8</f>
        <v/>
      </c>
      <c r="F118" s="54">
        <f>D118-E118</f>
        <v/>
      </c>
      <c r="G118" s="54">
        <f>C118-F118</f>
        <v/>
      </c>
      <c r="H118" s="54">
        <f>G117+E118</f>
        <v/>
      </c>
    </row>
    <row r="119" ht="18" customHeight="1">
      <c r="B119" s="26" t="n">
        <v>116</v>
      </c>
      <c r="C119" s="55">
        <f>G118</f>
        <v/>
      </c>
      <c r="D119" s="55">
        <f>IF(116&lt;=Inputs!C10*Inputs!C8,Inputs!C6/(Inputs!C10*Inputs!C8)+Inputs!C6*Inputs!C7/Inputs!C8,0)</f>
        <v/>
      </c>
      <c r="E119" s="55">
        <f>C119*Inputs!C7/Inputs!C8</f>
        <v/>
      </c>
      <c r="F119" s="55">
        <f>D119-E119</f>
        <v/>
      </c>
      <c r="G119" s="55">
        <f>C119-F119</f>
        <v/>
      </c>
      <c r="H119" s="55">
        <f>G118+E119</f>
        <v/>
      </c>
    </row>
    <row r="120" ht="18" customHeight="1">
      <c r="B120" s="22" t="n">
        <v>117</v>
      </c>
      <c r="C120" s="54">
        <f>G119</f>
        <v/>
      </c>
      <c r="D120" s="54">
        <f>IF(117&lt;=Inputs!C10*Inputs!C8,Inputs!C6/(Inputs!C10*Inputs!C8)+Inputs!C6*Inputs!C7/Inputs!C8,0)</f>
        <v/>
      </c>
      <c r="E120" s="54">
        <f>C120*Inputs!C7/Inputs!C8</f>
        <v/>
      </c>
      <c r="F120" s="54">
        <f>D120-E120</f>
        <v/>
      </c>
      <c r="G120" s="54">
        <f>C120-F120</f>
        <v/>
      </c>
      <c r="H120" s="54">
        <f>G119+E120</f>
        <v/>
      </c>
    </row>
    <row r="121" ht="18" customHeight="1">
      <c r="B121" s="26" t="n">
        <v>118</v>
      </c>
      <c r="C121" s="55">
        <f>G120</f>
        <v/>
      </c>
      <c r="D121" s="55">
        <f>IF(118&lt;=Inputs!C10*Inputs!C8,Inputs!C6/(Inputs!C10*Inputs!C8)+Inputs!C6*Inputs!C7/Inputs!C8,0)</f>
        <v/>
      </c>
      <c r="E121" s="55">
        <f>C121*Inputs!C7/Inputs!C8</f>
        <v/>
      </c>
      <c r="F121" s="55">
        <f>D121-E121</f>
        <v/>
      </c>
      <c r="G121" s="55">
        <f>C121-F121</f>
        <v/>
      </c>
      <c r="H121" s="55">
        <f>G120+E121</f>
        <v/>
      </c>
    </row>
    <row r="122" ht="18" customHeight="1">
      <c r="B122" s="22" t="n">
        <v>119</v>
      </c>
      <c r="C122" s="54">
        <f>G121</f>
        <v/>
      </c>
      <c r="D122" s="54">
        <f>IF(119&lt;=Inputs!C10*Inputs!C8,Inputs!C6/(Inputs!C10*Inputs!C8)+Inputs!C6*Inputs!C7/Inputs!C8,0)</f>
        <v/>
      </c>
      <c r="E122" s="54">
        <f>C122*Inputs!C7/Inputs!C8</f>
        <v/>
      </c>
      <c r="F122" s="54">
        <f>D122-E122</f>
        <v/>
      </c>
      <c r="G122" s="54">
        <f>C122-F122</f>
        <v/>
      </c>
      <c r="H122" s="54">
        <f>G121+E122</f>
        <v/>
      </c>
    </row>
    <row r="123" ht="18" customHeight="1">
      <c r="B123" s="26" t="n">
        <v>120</v>
      </c>
      <c r="C123" s="55">
        <f>G122</f>
        <v/>
      </c>
      <c r="D123" s="55">
        <f>IF(120&lt;=Inputs!C10*Inputs!C8,Inputs!C6/(Inputs!C10*Inputs!C8)+Inputs!C6*Inputs!C7/Inputs!C8,0)</f>
        <v/>
      </c>
      <c r="E123" s="55">
        <f>C123*Inputs!C7/Inputs!C8</f>
        <v/>
      </c>
      <c r="F123" s="55">
        <f>D123-E123</f>
        <v/>
      </c>
      <c r="G123" s="55">
        <f>C123-F123</f>
        <v/>
      </c>
      <c r="H123" s="55">
        <f>G122+E123</f>
        <v/>
      </c>
    </row>
    <row r="124">
      <c r="B124" s="21" t="n"/>
      <c r="C124" s="56">
        <f>SUM(C4:C123)</f>
        <v/>
      </c>
      <c r="D124" s="21" t="n"/>
      <c r="E124" s="56">
        <f>SUM(E4:E123)</f>
        <v/>
      </c>
      <c r="F124" s="56">
        <f>SUM(F4:F123)</f>
        <v/>
      </c>
      <c r="G124" s="21" t="n"/>
      <c r="H124" s="56">
        <f>SUM(E4:E123)</f>
        <v/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2026-03-25T04:38:49+00:00Z</dcterms:created>
  <dcterms:modified xmlns:dcterms="http://purl.org/dc/terms/" xmlns:xsi="http://www.w3.org/2001/XMLSchema-instance" xsi:type="dcterms:W3CDTF">2026-03-25T04:38:49+00:00Z</dcterms:modified>
</cp:coreProperties>
</file>