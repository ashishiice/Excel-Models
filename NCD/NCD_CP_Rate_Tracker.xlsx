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Entry" sheetId="1" state="visible" r:id="rId1"/>
    <sheet xmlns:r="http://schemas.openxmlformats.org/officeDocument/2006/relationships" name="Rates_DB" sheetId="2" state="visible" r:id="rId2"/>
    <sheet xmlns:r="http://schemas.openxmlformats.org/officeDocument/2006/relationships" name="GSec_Benchmark" sheetId="3" state="visible" r:id="rId3"/>
    <sheet xmlns:r="http://schemas.openxmlformats.org/officeDocument/2006/relationships" name="Portfolio_Summary" sheetId="4" state="visible" r:id="rId4"/>
    <sheet xmlns:r="http://schemas.openxmlformats.org/officeDocument/2006/relationships" name="MTM" sheetId="5" state="visible" r:id="rId5"/>
    <sheet xmlns:r="http://schemas.openxmlformats.org/officeDocument/2006/relationships" name="Ale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0.000%"/>
    <numFmt numFmtId="166" formatCode="0.00 Yrs"/>
    <numFmt numFmtId="167" formatCode="#,##0.0000"/>
    <numFmt numFmtId="168" formatCode="0 bp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8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1F3864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i val="1"/>
      <color rgb="00595959"/>
      <sz val="9"/>
    </font>
    <font>
      <name val="Calibri"/>
      <color rgb="00595959"/>
      <sz val="9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9"/>
    </font>
    <font>
      <name val="Calibri"/>
      <b val="1"/>
      <color rgb="00595959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10" fontId="5" fillId="5" borderId="1" applyAlignment="1" pivotButton="0" quotePrefix="0" xfId="0">
      <alignment horizontal="center"/>
    </xf>
    <xf numFmtId="2" fontId="5" fillId="5" borderId="1" applyAlignment="1" pivotButton="0" quotePrefix="0" xfId="0">
      <alignment horizontal="center"/>
    </xf>
    <xf numFmtId="4" fontId="5" fillId="5" borderId="1" applyAlignment="1" pivotButton="0" quotePrefix="0" xfId="0">
      <alignment horizontal="center"/>
    </xf>
    <xf numFmtId="165" fontId="5" fillId="5" borderId="1" applyAlignment="1" pivotButton="0" quotePrefix="0" xfId="0">
      <alignment horizontal="center"/>
    </xf>
    <xf numFmtId="2" fontId="6" fillId="7" borderId="1" applyAlignment="1" pivotButton="0" quotePrefix="0" xfId="0">
      <alignment horizontal="center"/>
    </xf>
    <xf numFmtId="1" fontId="4" fillId="4" borderId="1" applyAlignment="1" pivotButton="0" quotePrefix="0" xfId="0">
      <alignment horizontal="center"/>
    </xf>
    <xf numFmtId="4" fontId="6" fillId="7" borderId="1" applyAlignment="1" pivotButton="0" quotePrefix="0" xfId="0">
      <alignment horizontal="center"/>
    </xf>
    <xf numFmtId="0" fontId="7" fillId="2" borderId="1" applyAlignment="1" pivotButton="0" quotePrefix="0" xfId="0">
      <alignment horizontal="right" vertical="center"/>
    </xf>
    <xf numFmtId="4" fontId="7" fillId="2" borderId="1" pivotButton="0" quotePrefix="0" xfId="0"/>
    <xf numFmtId="0" fontId="8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9" fillId="0" borderId="1" applyAlignment="1" pivotButton="0" quotePrefix="0" xfId="0">
      <alignment wrapText="1"/>
    </xf>
    <xf numFmtId="164" fontId="6" fillId="5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0" fontId="9" fillId="3" borderId="0" applyAlignment="1" pivotButton="0" quotePrefix="0" xfId="0">
      <alignment wrapText="1"/>
    </xf>
    <xf numFmtId="0" fontId="11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/>
    </xf>
    <xf numFmtId="0" fontId="12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3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center" vertical="center"/>
    </xf>
    <xf numFmtId="10" fontId="6" fillId="7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0">
      <alignment horizontal="center" vertical="center"/>
    </xf>
    <xf numFmtId="2" fontId="7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166" fontId="14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167" fontId="14" fillId="7" borderId="1" applyAlignment="1" pivotButton="0" quotePrefix="0" xfId="0">
      <alignment horizontal="center" vertical="center"/>
    </xf>
    <xf numFmtId="4" fontId="14" fillId="7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wrapText="1"/>
    </xf>
    <xf numFmtId="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49" fontId="15" fillId="7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2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14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 ht="36" customHeight="1">
      <c r="B1" s="1" t="inlineStr">
        <is>
          <t>NCD &amp; CP — DAILY RATE ENTRY</t>
        </is>
      </c>
    </row>
    <row r="2" ht="20" customHeight="1">
      <c r="B2" s="2" t="inlineStr">
        <is>
          <t>Enter one row per instrument per date. Yellow = manual entry. Blue columns auto-calculate from GSec_Benchmark &amp; Portfolio_Summary sheets.</t>
        </is>
      </c>
    </row>
    <row r="4" ht="32" customHeight="1">
      <c r="B4" s="3" t="inlineStr">
        <is>
          <t>Date</t>
        </is>
      </c>
      <c r="C4" s="3" t="inlineStr">
        <is>
          <t>Instrument
Type</t>
        </is>
      </c>
      <c r="D4" s="3" t="inlineStr">
        <is>
          <t>Issuer Name</t>
        </is>
      </c>
      <c r="E4" s="3" t="inlineStr">
        <is>
          <t>ISIN / Ref</t>
        </is>
      </c>
      <c r="F4" s="3" t="inlineStr">
        <is>
          <t>Coupon
(% p.a.)</t>
        </is>
      </c>
      <c r="G4" s="3" t="inlineStr">
        <is>
          <t>Freq
(2=H/4=Q)</t>
        </is>
      </c>
      <c r="H4" s="3" t="inlineStr">
        <is>
          <t>Tenor
(Years)</t>
        </is>
      </c>
      <c r="I4" s="3" t="inlineStr">
        <is>
          <t>Face Value
(₹ Cr)</t>
        </is>
      </c>
      <c r="J4" s="3" t="inlineStr">
        <is>
          <t>Current
Yield (% )</t>
        </is>
      </c>
      <c r="K4" s="3" t="inlineStr">
        <is>
          <t>Clean Price
(₹)</t>
        </is>
      </c>
      <c r="L4" s="3" t="inlineStr">
        <is>
          <t>Accrued
Interest (₹)</t>
        </is>
      </c>
      <c r="M4" s="3" t="inlineStr">
        <is>
          <t>Gross
Invoice Price</t>
        </is>
      </c>
      <c r="N4" s="3" t="inlineStr">
        <is>
          <t>Days to
Maturity</t>
        </is>
      </c>
      <c r="O4" s="3" t="inlineStr">
        <is>
          <t>Current
Mtm Value (₹ Cr)</t>
        </is>
      </c>
    </row>
    <row r="5" ht="20" customHeight="1">
      <c r="B5" s="4" t="inlineStr">
        <is>
          <t>2026-03-25</t>
        </is>
      </c>
      <c r="C5" s="5" t="inlineStr">
        <is>
          <t>NCD</t>
        </is>
      </c>
      <c r="D5" s="5" t="inlineStr">
        <is>
          <t>HDFC Ltd</t>
        </is>
      </c>
      <c r="E5" s="5" t="inlineStr">
        <is>
          <t>INE001A08R39</t>
        </is>
      </c>
      <c r="F5" s="5" t="n">
        <v>0.091</v>
      </c>
      <c r="G5" s="5" t="n">
        <v>2</v>
      </c>
      <c r="H5" s="5" t="n">
        <v>5</v>
      </c>
      <c r="I5" s="5" t="n">
        <v>100</v>
      </c>
      <c r="J5" s="5" t="n">
        <v>0.0915</v>
      </c>
      <c r="K5" s="5" t="n">
        <v>99.5</v>
      </c>
      <c r="L5" s="6" t="inlineStr"/>
      <c r="M5" s="6" t="inlineStr"/>
      <c r="N5" s="6" t="inlineStr"/>
      <c r="O5" s="6" t="inlineStr"/>
    </row>
    <row r="6" ht="20" customHeight="1">
      <c r="B6" s="4" t="inlineStr">
        <is>
          <t>2026-03-25</t>
        </is>
      </c>
      <c r="C6" s="5" t="inlineStr">
        <is>
          <t>NCD</t>
        </is>
      </c>
      <c r="D6" s="5" t="inlineStr">
        <is>
          <t>Power Finance Corp</t>
        </is>
      </c>
      <c r="E6" s="5" t="inlineStr">
        <is>
          <t>INE881A1DNN7</t>
        </is>
      </c>
      <c r="F6" s="5" t="n">
        <v>0.082</v>
      </c>
      <c r="G6" s="5" t="n">
        <v>2</v>
      </c>
      <c r="H6" s="5" t="n">
        <v>3</v>
      </c>
      <c r="I6" s="5" t="n">
        <v>50</v>
      </c>
      <c r="J6" s="5" t="n">
        <v>0.083</v>
      </c>
      <c r="K6" s="5" t="n">
        <v>100.25</v>
      </c>
      <c r="L6" s="7" t="inlineStr"/>
      <c r="M6" s="7" t="inlineStr"/>
      <c r="N6" s="7" t="inlineStr"/>
      <c r="O6" s="7" t="inlineStr"/>
    </row>
    <row r="7" ht="20" customHeight="1">
      <c r="B7" s="4" t="inlineStr">
        <is>
          <t>2026-03-25</t>
        </is>
      </c>
      <c r="C7" s="5" t="inlineStr">
        <is>
          <t>CP</t>
        </is>
      </c>
      <c r="D7" s="5" t="inlineStr">
        <is>
          <t>Tata Capital Ltd</t>
        </is>
      </c>
      <c r="E7" s="5" t="inlineStr">
        <is>
          <t>INE851A14MZ6</t>
        </is>
      </c>
      <c r="F7" s="5" t="n">
        <v>0.075</v>
      </c>
      <c r="G7" s="5" t="n">
        <v>4</v>
      </c>
      <c r="H7" s="5" t="n">
        <v>0.5</v>
      </c>
      <c r="I7" s="5" t="n">
        <v>25</v>
      </c>
      <c r="J7" s="5" t="n">
        <v>0.076</v>
      </c>
      <c r="K7" s="5" t="n">
        <v>99.09999999999999</v>
      </c>
      <c r="L7" s="6" t="inlineStr"/>
      <c r="M7" s="6" t="inlineStr"/>
      <c r="N7" s="6" t="inlineStr"/>
      <c r="O7" s="6" t="inlineStr"/>
    </row>
    <row r="8" ht="18" customHeight="1">
      <c r="B8" s="8" t="n"/>
      <c r="C8" s="9" t="n"/>
      <c r="D8" s="9" t="n"/>
      <c r="E8" s="10" t="n"/>
      <c r="F8" s="9" t="n"/>
      <c r="G8" s="11" t="n"/>
      <c r="H8" s="12" t="n"/>
      <c r="I8" s="13" t="n"/>
      <c r="J8" s="11" t="n"/>
      <c r="K8" s="11" t="n"/>
      <c r="L8" s="14">
        <f>IFERROR(J8+K8,J8)</f>
        <v/>
      </c>
      <c r="M8" s="15">
        <f>IFERROR(IF(C8="CP",INT(G8*365),INT(G8*365)),"")</f>
        <v/>
      </c>
      <c r="N8" s="16">
        <f>IFERROR(L8*H8/100,"")</f>
        <v/>
      </c>
    </row>
    <row r="9" ht="18" customHeight="1">
      <c r="B9" s="8" t="n"/>
      <c r="C9" s="9" t="n"/>
      <c r="D9" s="9" t="n"/>
      <c r="E9" s="10" t="n"/>
      <c r="F9" s="9" t="n"/>
      <c r="G9" s="11" t="n"/>
      <c r="H9" s="12" t="n"/>
      <c r="I9" s="13" t="n"/>
      <c r="J9" s="11" t="n"/>
      <c r="K9" s="11" t="n"/>
      <c r="L9" s="14">
        <f>IFERROR(J9+K9,J9)</f>
        <v/>
      </c>
      <c r="M9" s="15">
        <f>IFERROR(IF(C9="CP",INT(G9*365),INT(G9*365)),"")</f>
        <v/>
      </c>
      <c r="N9" s="16">
        <f>IFERROR(L9*H9/100,"")</f>
        <v/>
      </c>
    </row>
    <row r="10" ht="18" customHeight="1">
      <c r="B10" s="8" t="n"/>
      <c r="C10" s="9" t="n"/>
      <c r="D10" s="9" t="n"/>
      <c r="E10" s="10" t="n"/>
      <c r="F10" s="9" t="n"/>
      <c r="G10" s="11" t="n"/>
      <c r="H10" s="12" t="n"/>
      <c r="I10" s="13" t="n"/>
      <c r="J10" s="11" t="n"/>
      <c r="K10" s="11" t="n"/>
      <c r="L10" s="14">
        <f>IFERROR(J10+K10,J10)</f>
        <v/>
      </c>
      <c r="M10" s="15">
        <f>IFERROR(IF(C10="CP",INT(G10*365),INT(G10*365)),"")</f>
        <v/>
      </c>
      <c r="N10" s="16">
        <f>IFERROR(L10*H10/100,"")</f>
        <v/>
      </c>
    </row>
    <row r="11" ht="18" customHeight="1">
      <c r="B11" s="8" t="n"/>
      <c r="C11" s="9" t="n"/>
      <c r="D11" s="9" t="n"/>
      <c r="E11" s="10" t="n"/>
      <c r="F11" s="9" t="n"/>
      <c r="G11" s="11" t="n"/>
      <c r="H11" s="12" t="n"/>
      <c r="I11" s="13" t="n"/>
      <c r="J11" s="11" t="n"/>
      <c r="K11" s="11" t="n"/>
      <c r="L11" s="14">
        <f>IFERROR(J11+K11,J11)</f>
        <v/>
      </c>
      <c r="M11" s="15">
        <f>IFERROR(IF(C11="CP",INT(G11*365),INT(G11*365)),"")</f>
        <v/>
      </c>
      <c r="N11" s="16">
        <f>IFERROR(L11*H11/100,"")</f>
        <v/>
      </c>
    </row>
    <row r="12" ht="18" customHeight="1">
      <c r="B12" s="8" t="n"/>
      <c r="C12" s="9" t="n"/>
      <c r="D12" s="9" t="n"/>
      <c r="E12" s="10" t="n"/>
      <c r="F12" s="9" t="n"/>
      <c r="G12" s="11" t="n"/>
      <c r="H12" s="12" t="n"/>
      <c r="I12" s="13" t="n"/>
      <c r="J12" s="11" t="n"/>
      <c r="K12" s="11" t="n"/>
      <c r="L12" s="14">
        <f>IFERROR(J12+K12,J12)</f>
        <v/>
      </c>
      <c r="M12" s="15">
        <f>IFERROR(IF(C12="CP",INT(G12*365),INT(G12*365)),"")</f>
        <v/>
      </c>
      <c r="N12" s="16">
        <f>IFERROR(L12*H12/100,"")</f>
        <v/>
      </c>
    </row>
    <row r="13" ht="18" customHeight="1">
      <c r="B13" s="8" t="n"/>
      <c r="C13" s="9" t="n"/>
      <c r="D13" s="9" t="n"/>
      <c r="E13" s="10" t="n"/>
      <c r="F13" s="9" t="n"/>
      <c r="G13" s="11" t="n"/>
      <c r="H13" s="12" t="n"/>
      <c r="I13" s="13" t="n"/>
      <c r="J13" s="11" t="n"/>
      <c r="K13" s="11" t="n"/>
      <c r="L13" s="14">
        <f>IFERROR(J13+K13,J13)</f>
        <v/>
      </c>
      <c r="M13" s="15">
        <f>IFERROR(IF(C13="CP",INT(G13*365),INT(G13*365)),"")</f>
        <v/>
      </c>
      <c r="N13" s="16">
        <f>IFERROR(L13*H13/100,"")</f>
        <v/>
      </c>
    </row>
    <row r="14" ht="18" customHeight="1">
      <c r="B14" s="8" t="n"/>
      <c r="C14" s="9" t="n"/>
      <c r="D14" s="9" t="n"/>
      <c r="E14" s="10" t="n"/>
      <c r="F14" s="9" t="n"/>
      <c r="G14" s="11" t="n"/>
      <c r="H14" s="12" t="n"/>
      <c r="I14" s="13" t="n"/>
      <c r="J14" s="11" t="n"/>
      <c r="K14" s="11" t="n"/>
      <c r="L14" s="14">
        <f>IFERROR(J14+K14,J14)</f>
        <v/>
      </c>
      <c r="M14" s="15">
        <f>IFERROR(IF(C14="CP",INT(G14*365),INT(G14*365)),"")</f>
        <v/>
      </c>
      <c r="N14" s="16">
        <f>IFERROR(L14*H14/100,"")</f>
        <v/>
      </c>
    </row>
    <row r="15" ht="18" customHeight="1">
      <c r="B15" s="8" t="n"/>
      <c r="C15" s="9" t="n"/>
      <c r="D15" s="9" t="n"/>
      <c r="E15" s="10" t="n"/>
      <c r="F15" s="9" t="n"/>
      <c r="G15" s="11" t="n"/>
      <c r="H15" s="12" t="n"/>
      <c r="I15" s="13" t="n"/>
      <c r="J15" s="11" t="n"/>
      <c r="K15" s="11" t="n"/>
      <c r="L15" s="14">
        <f>IFERROR(J15+K15,J15)</f>
        <v/>
      </c>
      <c r="M15" s="15">
        <f>IFERROR(IF(C15="CP",INT(G15*365),INT(G15*365)),"")</f>
        <v/>
      </c>
      <c r="N15" s="16">
        <f>IFERROR(L15*H15/100,"")</f>
        <v/>
      </c>
    </row>
    <row r="16" ht="18" customHeight="1">
      <c r="B16" s="8" t="n"/>
      <c r="C16" s="9" t="n"/>
      <c r="D16" s="9" t="n"/>
      <c r="E16" s="10" t="n"/>
      <c r="F16" s="9" t="n"/>
      <c r="G16" s="11" t="n"/>
      <c r="H16" s="12" t="n"/>
      <c r="I16" s="13" t="n"/>
      <c r="J16" s="11" t="n"/>
      <c r="K16" s="11" t="n"/>
      <c r="L16" s="14">
        <f>IFERROR(J16+K16,J16)</f>
        <v/>
      </c>
      <c r="M16" s="15">
        <f>IFERROR(IF(C16="CP",INT(G16*365),INT(G16*365)),"")</f>
        <v/>
      </c>
      <c r="N16" s="16">
        <f>IFERROR(L16*H16/100,"")</f>
        <v/>
      </c>
    </row>
    <row r="17" ht="18" customHeight="1">
      <c r="B17" s="8" t="n"/>
      <c r="C17" s="9" t="n"/>
      <c r="D17" s="9" t="n"/>
      <c r="E17" s="10" t="n"/>
      <c r="F17" s="9" t="n"/>
      <c r="G17" s="11" t="n"/>
      <c r="H17" s="12" t="n"/>
      <c r="I17" s="13" t="n"/>
      <c r="J17" s="11" t="n"/>
      <c r="K17" s="11" t="n"/>
      <c r="L17" s="14">
        <f>IFERROR(J17+K17,J17)</f>
        <v/>
      </c>
      <c r="M17" s="15">
        <f>IFERROR(IF(C17="CP",INT(G17*365),INT(G17*365)),"")</f>
        <v/>
      </c>
      <c r="N17" s="16">
        <f>IFERROR(L17*H17/100,"")</f>
        <v/>
      </c>
    </row>
    <row r="18" ht="18" customHeight="1">
      <c r="B18" s="8" t="n"/>
      <c r="C18" s="9" t="n"/>
      <c r="D18" s="9" t="n"/>
      <c r="E18" s="10" t="n"/>
      <c r="F18" s="9" t="n"/>
      <c r="G18" s="11" t="n"/>
      <c r="H18" s="12" t="n"/>
      <c r="I18" s="13" t="n"/>
      <c r="J18" s="11" t="n"/>
      <c r="K18" s="11" t="n"/>
      <c r="L18" s="14">
        <f>IFERROR(J18+K18,J18)</f>
        <v/>
      </c>
      <c r="M18" s="15">
        <f>IFERROR(IF(C18="CP",INT(G18*365),INT(G18*365)),"")</f>
        <v/>
      </c>
      <c r="N18" s="16">
        <f>IFERROR(L18*H18/100,"")</f>
        <v/>
      </c>
    </row>
    <row r="19" ht="18" customHeight="1">
      <c r="B19" s="8" t="n"/>
      <c r="C19" s="9" t="n"/>
      <c r="D19" s="9" t="n"/>
      <c r="E19" s="10" t="n"/>
      <c r="F19" s="9" t="n"/>
      <c r="G19" s="11" t="n"/>
      <c r="H19" s="12" t="n"/>
      <c r="I19" s="13" t="n"/>
      <c r="J19" s="11" t="n"/>
      <c r="K19" s="11" t="n"/>
      <c r="L19" s="14">
        <f>IFERROR(J19+K19,J19)</f>
        <v/>
      </c>
      <c r="M19" s="15">
        <f>IFERROR(IF(C19="CP",INT(G19*365),INT(G19*365)),"")</f>
        <v/>
      </c>
      <c r="N19" s="16">
        <f>IFERROR(L19*H19/100,"")</f>
        <v/>
      </c>
    </row>
    <row r="20" ht="18" customHeight="1">
      <c r="B20" s="8" t="n"/>
      <c r="C20" s="9" t="n"/>
      <c r="D20" s="9" t="n"/>
      <c r="E20" s="10" t="n"/>
      <c r="F20" s="9" t="n"/>
      <c r="G20" s="11" t="n"/>
      <c r="H20" s="12" t="n"/>
      <c r="I20" s="13" t="n"/>
      <c r="J20" s="11" t="n"/>
      <c r="K20" s="11" t="n"/>
      <c r="L20" s="14">
        <f>IFERROR(J20+K20,J20)</f>
        <v/>
      </c>
      <c r="M20" s="15">
        <f>IFERROR(IF(C20="CP",INT(G20*365),INT(G20*365)),"")</f>
        <v/>
      </c>
      <c r="N20" s="16">
        <f>IFERROR(L20*H20/100,"")</f>
        <v/>
      </c>
    </row>
    <row r="21" ht="18" customHeight="1">
      <c r="B21" s="8" t="n"/>
      <c r="C21" s="9" t="n"/>
      <c r="D21" s="9" t="n"/>
      <c r="E21" s="10" t="n"/>
      <c r="F21" s="9" t="n"/>
      <c r="G21" s="11" t="n"/>
      <c r="H21" s="12" t="n"/>
      <c r="I21" s="13" t="n"/>
      <c r="J21" s="11" t="n"/>
      <c r="K21" s="11" t="n"/>
      <c r="L21" s="14">
        <f>IFERROR(J21+K21,J21)</f>
        <v/>
      </c>
      <c r="M21" s="15">
        <f>IFERROR(IF(C21="CP",INT(G21*365),INT(G21*365)),"")</f>
        <v/>
      </c>
      <c r="N21" s="16">
        <f>IFERROR(L21*H21/100,"")</f>
        <v/>
      </c>
    </row>
    <row r="22" ht="18" customHeight="1">
      <c r="B22" s="8" t="n"/>
      <c r="C22" s="9" t="n"/>
      <c r="D22" s="9" t="n"/>
      <c r="E22" s="10" t="n"/>
      <c r="F22" s="9" t="n"/>
      <c r="G22" s="11" t="n"/>
      <c r="H22" s="12" t="n"/>
      <c r="I22" s="13" t="n"/>
      <c r="J22" s="11" t="n"/>
      <c r="K22" s="11" t="n"/>
      <c r="L22" s="14">
        <f>IFERROR(J22+K22,J22)</f>
        <v/>
      </c>
      <c r="M22" s="15">
        <f>IFERROR(IF(C22="CP",INT(G22*365),INT(G22*365)),"")</f>
        <v/>
      </c>
      <c r="N22" s="16">
        <f>IFERROR(L22*H22/100,"")</f>
        <v/>
      </c>
    </row>
    <row r="23" ht="18" customHeight="1">
      <c r="B23" s="8" t="n"/>
      <c r="C23" s="9" t="n"/>
      <c r="D23" s="9" t="n"/>
      <c r="E23" s="10" t="n"/>
      <c r="F23" s="9" t="n"/>
      <c r="G23" s="11" t="n"/>
      <c r="H23" s="12" t="n"/>
      <c r="I23" s="13" t="n"/>
      <c r="J23" s="11" t="n"/>
      <c r="K23" s="11" t="n"/>
      <c r="L23" s="14">
        <f>IFERROR(J23+K23,J23)</f>
        <v/>
      </c>
      <c r="M23" s="15">
        <f>IFERROR(IF(C23="CP",INT(G23*365),INT(G23*365)),"")</f>
        <v/>
      </c>
      <c r="N23" s="16">
        <f>IFERROR(L23*H23/100,"")</f>
        <v/>
      </c>
    </row>
    <row r="24" ht="18" customHeight="1">
      <c r="B24" s="8" t="n"/>
      <c r="C24" s="9" t="n"/>
      <c r="D24" s="9" t="n"/>
      <c r="E24" s="10" t="n"/>
      <c r="F24" s="9" t="n"/>
      <c r="G24" s="11" t="n"/>
      <c r="H24" s="12" t="n"/>
      <c r="I24" s="13" t="n"/>
      <c r="J24" s="11" t="n"/>
      <c r="K24" s="11" t="n"/>
      <c r="L24" s="14">
        <f>IFERROR(J24+K24,J24)</f>
        <v/>
      </c>
      <c r="M24" s="15">
        <f>IFERROR(IF(C24="CP",INT(G24*365),INT(G24*365)),"")</f>
        <v/>
      </c>
      <c r="N24" s="16">
        <f>IFERROR(L24*H24/100,"")</f>
        <v/>
      </c>
    </row>
    <row r="25" ht="18" customHeight="1">
      <c r="B25" s="8" t="n"/>
      <c r="C25" s="9" t="n"/>
      <c r="D25" s="9" t="n"/>
      <c r="E25" s="10" t="n"/>
      <c r="F25" s="9" t="n"/>
      <c r="G25" s="11" t="n"/>
      <c r="H25" s="12" t="n"/>
      <c r="I25" s="13" t="n"/>
      <c r="J25" s="11" t="n"/>
      <c r="K25" s="11" t="n"/>
      <c r="L25" s="14">
        <f>IFERROR(J25+K25,J25)</f>
        <v/>
      </c>
      <c r="M25" s="15">
        <f>IFERROR(IF(C25="CP",INT(G25*365),INT(G25*365)),"")</f>
        <v/>
      </c>
      <c r="N25" s="16">
        <f>IFERROR(L25*H25/100,"")</f>
        <v/>
      </c>
    </row>
    <row r="26" ht="18" customHeight="1">
      <c r="B26" s="8" t="n"/>
      <c r="C26" s="9" t="n"/>
      <c r="D26" s="9" t="n"/>
      <c r="E26" s="10" t="n"/>
      <c r="F26" s="9" t="n"/>
      <c r="G26" s="11" t="n"/>
      <c r="H26" s="12" t="n"/>
      <c r="I26" s="13" t="n"/>
      <c r="J26" s="11" t="n"/>
      <c r="K26" s="11" t="n"/>
      <c r="L26" s="14">
        <f>IFERROR(J26+K26,J26)</f>
        <v/>
      </c>
      <c r="M26" s="15">
        <f>IFERROR(IF(C26="CP",INT(G26*365),INT(G26*365)),"")</f>
        <v/>
      </c>
      <c r="N26" s="16">
        <f>IFERROR(L26*H26/100,"")</f>
        <v/>
      </c>
    </row>
    <row r="27" ht="18" customHeight="1">
      <c r="B27" s="8" t="n"/>
      <c r="C27" s="9" t="n"/>
      <c r="D27" s="9" t="n"/>
      <c r="E27" s="10" t="n"/>
      <c r="F27" s="9" t="n"/>
      <c r="G27" s="11" t="n"/>
      <c r="H27" s="12" t="n"/>
      <c r="I27" s="13" t="n"/>
      <c r="J27" s="11" t="n"/>
      <c r="K27" s="11" t="n"/>
      <c r="L27" s="14">
        <f>IFERROR(J27+K27,J27)</f>
        <v/>
      </c>
      <c r="M27" s="15">
        <f>IFERROR(IF(C27="CP",INT(G27*365),INT(G27*365)),"")</f>
        <v/>
      </c>
      <c r="N27" s="16">
        <f>IFERROR(L27*H27/100,"")</f>
        <v/>
      </c>
    </row>
    <row r="28" ht="18" customHeight="1">
      <c r="B28" s="8" t="n"/>
      <c r="C28" s="9" t="n"/>
      <c r="D28" s="9" t="n"/>
      <c r="E28" s="10" t="n"/>
      <c r="F28" s="9" t="n"/>
      <c r="G28" s="11" t="n"/>
      <c r="H28" s="12" t="n"/>
      <c r="I28" s="13" t="n"/>
      <c r="J28" s="11" t="n"/>
      <c r="K28" s="11" t="n"/>
      <c r="L28" s="14">
        <f>IFERROR(J28+K28,J28)</f>
        <v/>
      </c>
      <c r="M28" s="15">
        <f>IFERROR(IF(C28="CP",INT(G28*365),INT(G28*365)),"")</f>
        <v/>
      </c>
      <c r="N28" s="16">
        <f>IFERROR(L28*H28/100,"")</f>
        <v/>
      </c>
    </row>
    <row r="29" ht="18" customHeight="1">
      <c r="B29" s="8" t="n"/>
      <c r="C29" s="9" t="n"/>
      <c r="D29" s="9" t="n"/>
      <c r="E29" s="10" t="n"/>
      <c r="F29" s="9" t="n"/>
      <c r="G29" s="11" t="n"/>
      <c r="H29" s="12" t="n"/>
      <c r="I29" s="13" t="n"/>
      <c r="J29" s="11" t="n"/>
      <c r="K29" s="11" t="n"/>
      <c r="L29" s="14">
        <f>IFERROR(J29+K29,J29)</f>
        <v/>
      </c>
      <c r="M29" s="15">
        <f>IFERROR(IF(C29="CP",INT(G29*365),INT(G29*365)),"")</f>
        <v/>
      </c>
      <c r="N29" s="16">
        <f>IFERROR(L29*H29/100,"")</f>
        <v/>
      </c>
    </row>
    <row r="30" ht="18" customHeight="1">
      <c r="B30" s="8" t="n"/>
      <c r="C30" s="9" t="n"/>
      <c r="D30" s="9" t="n"/>
      <c r="E30" s="10" t="n"/>
      <c r="F30" s="9" t="n"/>
      <c r="G30" s="11" t="n"/>
      <c r="H30" s="12" t="n"/>
      <c r="I30" s="13" t="n"/>
      <c r="J30" s="11" t="n"/>
      <c r="K30" s="11" t="n"/>
      <c r="L30" s="14">
        <f>IFERROR(J30+K30,J30)</f>
        <v/>
      </c>
      <c r="M30" s="15">
        <f>IFERROR(IF(C30="CP",INT(G30*365),INT(G30*365)),"")</f>
        <v/>
      </c>
      <c r="N30" s="16">
        <f>IFERROR(L30*H30/100,"")</f>
        <v/>
      </c>
    </row>
    <row r="31" ht="18" customHeight="1">
      <c r="B31" s="8" t="n"/>
      <c r="C31" s="9" t="n"/>
      <c r="D31" s="9" t="n"/>
      <c r="E31" s="10" t="n"/>
      <c r="F31" s="9" t="n"/>
      <c r="G31" s="11" t="n"/>
      <c r="H31" s="12" t="n"/>
      <c r="I31" s="13" t="n"/>
      <c r="J31" s="11" t="n"/>
      <c r="K31" s="11" t="n"/>
      <c r="L31" s="14">
        <f>IFERROR(J31+K31,J31)</f>
        <v/>
      </c>
      <c r="M31" s="15">
        <f>IFERROR(IF(C31="CP",INT(G31*365),INT(G31*365)),"")</f>
        <v/>
      </c>
      <c r="N31" s="16">
        <f>IFERROR(L31*H31/100,"")</f>
        <v/>
      </c>
    </row>
    <row r="32" ht="18" customHeight="1">
      <c r="B32" s="8" t="n"/>
      <c r="C32" s="9" t="n"/>
      <c r="D32" s="9" t="n"/>
      <c r="E32" s="10" t="n"/>
      <c r="F32" s="9" t="n"/>
      <c r="G32" s="11" t="n"/>
      <c r="H32" s="12" t="n"/>
      <c r="I32" s="13" t="n"/>
      <c r="J32" s="11" t="n"/>
      <c r="K32" s="11" t="n"/>
      <c r="L32" s="14">
        <f>IFERROR(J32+K32,J32)</f>
        <v/>
      </c>
      <c r="M32" s="15">
        <f>IFERROR(IF(C32="CP",INT(G32*365),INT(G32*365)),"")</f>
        <v/>
      </c>
      <c r="N32" s="16">
        <f>IFERROR(L32*H32/100,"")</f>
        <v/>
      </c>
    </row>
    <row r="33" ht="18" customHeight="1">
      <c r="B33" s="8" t="n"/>
      <c r="C33" s="9" t="n"/>
      <c r="D33" s="9" t="n"/>
      <c r="E33" s="10" t="n"/>
      <c r="F33" s="9" t="n"/>
      <c r="G33" s="11" t="n"/>
      <c r="H33" s="12" t="n"/>
      <c r="I33" s="13" t="n"/>
      <c r="J33" s="11" t="n"/>
      <c r="K33" s="11" t="n"/>
      <c r="L33" s="14">
        <f>IFERROR(J33+K33,J33)</f>
        <v/>
      </c>
      <c r="M33" s="15">
        <f>IFERROR(IF(C33="CP",INT(G33*365),INT(G33*365)),"")</f>
        <v/>
      </c>
      <c r="N33" s="16">
        <f>IFERROR(L33*H33/100,"")</f>
        <v/>
      </c>
    </row>
    <row r="34" ht="18" customHeight="1">
      <c r="B34" s="8" t="n"/>
      <c r="C34" s="9" t="n"/>
      <c r="D34" s="9" t="n"/>
      <c r="E34" s="10" t="n"/>
      <c r="F34" s="9" t="n"/>
      <c r="G34" s="11" t="n"/>
      <c r="H34" s="12" t="n"/>
      <c r="I34" s="13" t="n"/>
      <c r="J34" s="11" t="n"/>
      <c r="K34" s="11" t="n"/>
      <c r="L34" s="14">
        <f>IFERROR(J34+K34,J34)</f>
        <v/>
      </c>
      <c r="M34" s="15">
        <f>IFERROR(IF(C34="CP",INT(G34*365),INT(G34*365)),"")</f>
        <v/>
      </c>
      <c r="N34" s="16">
        <f>IFERROR(L34*H34/100,"")</f>
        <v/>
      </c>
    </row>
    <row r="35" ht="18" customHeight="1">
      <c r="B35" s="8" t="n"/>
      <c r="C35" s="9" t="n"/>
      <c r="D35" s="9" t="n"/>
      <c r="E35" s="10" t="n"/>
      <c r="F35" s="9" t="n"/>
      <c r="G35" s="11" t="n"/>
      <c r="H35" s="12" t="n"/>
      <c r="I35" s="13" t="n"/>
      <c r="J35" s="11" t="n"/>
      <c r="K35" s="11" t="n"/>
      <c r="L35" s="14">
        <f>IFERROR(J35+K35,J35)</f>
        <v/>
      </c>
      <c r="M35" s="15">
        <f>IFERROR(IF(C35="CP",INT(G35*365),INT(G35*365)),"")</f>
        <v/>
      </c>
      <c r="N35" s="16">
        <f>IFERROR(L35*H35/100,"")</f>
        <v/>
      </c>
    </row>
    <row r="36" ht="18" customHeight="1">
      <c r="B36" s="8" t="n"/>
      <c r="C36" s="9" t="n"/>
      <c r="D36" s="9" t="n"/>
      <c r="E36" s="10" t="n"/>
      <c r="F36" s="9" t="n"/>
      <c r="G36" s="11" t="n"/>
      <c r="H36" s="12" t="n"/>
      <c r="I36" s="13" t="n"/>
      <c r="J36" s="11" t="n"/>
      <c r="K36" s="11" t="n"/>
      <c r="L36" s="14">
        <f>IFERROR(J36+K36,J36)</f>
        <v/>
      </c>
      <c r="M36" s="15">
        <f>IFERROR(IF(C36="CP",INT(G36*365),INT(G36*365)),"")</f>
        <v/>
      </c>
      <c r="N36" s="16">
        <f>IFERROR(L36*H36/100,"")</f>
        <v/>
      </c>
    </row>
    <row r="37" ht="18" customHeight="1">
      <c r="B37" s="8" t="n"/>
      <c r="C37" s="9" t="n"/>
      <c r="D37" s="9" t="n"/>
      <c r="E37" s="10" t="n"/>
      <c r="F37" s="9" t="n"/>
      <c r="G37" s="11" t="n"/>
      <c r="H37" s="12" t="n"/>
      <c r="I37" s="13" t="n"/>
      <c r="J37" s="11" t="n"/>
      <c r="K37" s="11" t="n"/>
      <c r="L37" s="14">
        <f>IFERROR(J37+K37,J37)</f>
        <v/>
      </c>
      <c r="M37" s="15">
        <f>IFERROR(IF(C37="CP",INT(G37*365),INT(G37*365)),"")</f>
        <v/>
      </c>
      <c r="N37" s="16">
        <f>IFERROR(L37*H37/100,"")</f>
        <v/>
      </c>
    </row>
    <row r="38" ht="18" customHeight="1">
      <c r="B38" s="8" t="n"/>
      <c r="C38" s="9" t="n"/>
      <c r="D38" s="9" t="n"/>
      <c r="E38" s="10" t="n"/>
      <c r="F38" s="9" t="n"/>
      <c r="G38" s="11" t="n"/>
      <c r="H38" s="12" t="n"/>
      <c r="I38" s="13" t="n"/>
      <c r="J38" s="11" t="n"/>
      <c r="K38" s="11" t="n"/>
      <c r="L38" s="14">
        <f>IFERROR(J38+K38,J38)</f>
        <v/>
      </c>
      <c r="M38" s="15">
        <f>IFERROR(IF(C38="CP",INT(G38*365),INT(G38*365)),"")</f>
        <v/>
      </c>
      <c r="N38" s="16">
        <f>IFERROR(L38*H38/100,"")</f>
        <v/>
      </c>
    </row>
    <row r="39" ht="18" customHeight="1">
      <c r="B39" s="8" t="n"/>
      <c r="C39" s="9" t="n"/>
      <c r="D39" s="9" t="n"/>
      <c r="E39" s="10" t="n"/>
      <c r="F39" s="9" t="n"/>
      <c r="G39" s="11" t="n"/>
      <c r="H39" s="12" t="n"/>
      <c r="I39" s="13" t="n"/>
      <c r="J39" s="11" t="n"/>
      <c r="K39" s="11" t="n"/>
      <c r="L39" s="14">
        <f>IFERROR(J39+K39,J39)</f>
        <v/>
      </c>
      <c r="M39" s="15">
        <f>IFERROR(IF(C39="CP",INT(G39*365),INT(G39*365)),"")</f>
        <v/>
      </c>
      <c r="N39" s="16">
        <f>IFERROR(L39*H39/100,"")</f>
        <v/>
      </c>
    </row>
    <row r="40" ht="18" customHeight="1">
      <c r="B40" s="8" t="n"/>
      <c r="C40" s="9" t="n"/>
      <c r="D40" s="9" t="n"/>
      <c r="E40" s="10" t="n"/>
      <c r="F40" s="9" t="n"/>
      <c r="G40" s="11" t="n"/>
      <c r="H40" s="12" t="n"/>
      <c r="I40" s="13" t="n"/>
      <c r="J40" s="11" t="n"/>
      <c r="K40" s="11" t="n"/>
      <c r="L40" s="14">
        <f>IFERROR(J40+K40,J40)</f>
        <v/>
      </c>
      <c r="M40" s="15">
        <f>IFERROR(IF(C40="CP",INT(G40*365),INT(G40*365)),"")</f>
        <v/>
      </c>
      <c r="N40" s="16">
        <f>IFERROR(L40*H40/100,"")</f>
        <v/>
      </c>
    </row>
    <row r="41" ht="18" customHeight="1">
      <c r="B41" s="8" t="n"/>
      <c r="C41" s="9" t="n"/>
      <c r="D41" s="9" t="n"/>
      <c r="E41" s="10" t="n"/>
      <c r="F41" s="9" t="n"/>
      <c r="G41" s="11" t="n"/>
      <c r="H41" s="12" t="n"/>
      <c r="I41" s="13" t="n"/>
      <c r="J41" s="11" t="n"/>
      <c r="K41" s="11" t="n"/>
      <c r="L41" s="14">
        <f>IFERROR(J41+K41,J41)</f>
        <v/>
      </c>
      <c r="M41" s="15">
        <f>IFERROR(IF(C41="CP",INT(G41*365),INT(G41*365)),"")</f>
        <v/>
      </c>
      <c r="N41" s="16">
        <f>IFERROR(L41*H41/100,"")</f>
        <v/>
      </c>
    </row>
    <row r="42" ht="18" customHeight="1">
      <c r="B42" s="8" t="n"/>
      <c r="C42" s="9" t="n"/>
      <c r="D42" s="9" t="n"/>
      <c r="E42" s="10" t="n"/>
      <c r="F42" s="9" t="n"/>
      <c r="G42" s="11" t="n"/>
      <c r="H42" s="12" t="n"/>
      <c r="I42" s="13" t="n"/>
      <c r="J42" s="11" t="n"/>
      <c r="K42" s="11" t="n"/>
      <c r="L42" s="14">
        <f>IFERROR(J42+K42,J42)</f>
        <v/>
      </c>
      <c r="M42" s="15">
        <f>IFERROR(IF(C42="CP",INT(G42*365),INT(G42*365)),"")</f>
        <v/>
      </c>
      <c r="N42" s="16">
        <f>IFERROR(L42*H42/100,"")</f>
        <v/>
      </c>
    </row>
    <row r="43" ht="18" customHeight="1">
      <c r="B43" s="8" t="n"/>
      <c r="C43" s="9" t="n"/>
      <c r="D43" s="9" t="n"/>
      <c r="E43" s="10" t="n"/>
      <c r="F43" s="9" t="n"/>
      <c r="G43" s="11" t="n"/>
      <c r="H43" s="12" t="n"/>
      <c r="I43" s="13" t="n"/>
      <c r="J43" s="11" t="n"/>
      <c r="K43" s="11" t="n"/>
      <c r="L43" s="14">
        <f>IFERROR(J43+K43,J43)</f>
        <v/>
      </c>
      <c r="M43" s="15">
        <f>IFERROR(IF(C43="CP",INT(G43*365),INT(G43*365)),"")</f>
        <v/>
      </c>
      <c r="N43" s="16">
        <f>IFERROR(L43*H43/100,"")</f>
        <v/>
      </c>
    </row>
    <row r="44" ht="18" customHeight="1">
      <c r="B44" s="8" t="n"/>
      <c r="C44" s="9" t="n"/>
      <c r="D44" s="9" t="n"/>
      <c r="E44" s="10" t="n"/>
      <c r="F44" s="9" t="n"/>
      <c r="G44" s="11" t="n"/>
      <c r="H44" s="12" t="n"/>
      <c r="I44" s="13" t="n"/>
      <c r="J44" s="11" t="n"/>
      <c r="K44" s="11" t="n"/>
      <c r="L44" s="14">
        <f>IFERROR(J44+K44,J44)</f>
        <v/>
      </c>
      <c r="M44" s="15">
        <f>IFERROR(IF(C44="CP",INT(G44*365),INT(G44*365)),"")</f>
        <v/>
      </c>
      <c r="N44" s="16">
        <f>IFERROR(L44*H44/100,"")</f>
        <v/>
      </c>
    </row>
    <row r="45" ht="18" customHeight="1">
      <c r="B45" s="8" t="n"/>
      <c r="C45" s="9" t="n"/>
      <c r="D45" s="9" t="n"/>
      <c r="E45" s="10" t="n"/>
      <c r="F45" s="9" t="n"/>
      <c r="G45" s="11" t="n"/>
      <c r="H45" s="12" t="n"/>
      <c r="I45" s="13" t="n"/>
      <c r="J45" s="11" t="n"/>
      <c r="K45" s="11" t="n"/>
      <c r="L45" s="14">
        <f>IFERROR(J45+K45,J45)</f>
        <v/>
      </c>
      <c r="M45" s="15">
        <f>IFERROR(IF(C45="CP",INT(G45*365),INT(G45*365)),"")</f>
        <v/>
      </c>
      <c r="N45" s="16">
        <f>IFERROR(L45*H45/100,"")</f>
        <v/>
      </c>
    </row>
    <row r="46" ht="18" customHeight="1">
      <c r="B46" s="8" t="n"/>
      <c r="C46" s="9" t="n"/>
      <c r="D46" s="9" t="n"/>
      <c r="E46" s="10" t="n"/>
      <c r="F46" s="9" t="n"/>
      <c r="G46" s="11" t="n"/>
      <c r="H46" s="12" t="n"/>
      <c r="I46" s="13" t="n"/>
      <c r="J46" s="11" t="n"/>
      <c r="K46" s="11" t="n"/>
      <c r="L46" s="14">
        <f>IFERROR(J46+K46,J46)</f>
        <v/>
      </c>
      <c r="M46" s="15">
        <f>IFERROR(IF(C46="CP",INT(G46*365),INT(G46*365)),"")</f>
        <v/>
      </c>
      <c r="N46" s="16">
        <f>IFERROR(L46*H46/100,"")</f>
        <v/>
      </c>
    </row>
    <row r="47" ht="18" customHeight="1">
      <c r="B47" s="8" t="n"/>
      <c r="C47" s="9" t="n"/>
      <c r="D47" s="9" t="n"/>
      <c r="E47" s="10" t="n"/>
      <c r="F47" s="9" t="n"/>
      <c r="G47" s="11" t="n"/>
      <c r="H47" s="12" t="n"/>
      <c r="I47" s="13" t="n"/>
      <c r="J47" s="11" t="n"/>
      <c r="K47" s="11" t="n"/>
      <c r="L47" s="14">
        <f>IFERROR(J47+K47,J47)</f>
        <v/>
      </c>
      <c r="M47" s="15">
        <f>IFERROR(IF(C47="CP",INT(G47*365),INT(G47*365)),"")</f>
        <v/>
      </c>
      <c r="N47" s="16">
        <f>IFERROR(L47*H47/100,"")</f>
        <v/>
      </c>
    </row>
    <row r="48" ht="18" customHeight="1">
      <c r="B48" s="8" t="n"/>
      <c r="C48" s="9" t="n"/>
      <c r="D48" s="9" t="n"/>
      <c r="E48" s="10" t="n"/>
      <c r="F48" s="9" t="n"/>
      <c r="G48" s="11" t="n"/>
      <c r="H48" s="12" t="n"/>
      <c r="I48" s="13" t="n"/>
      <c r="J48" s="11" t="n"/>
      <c r="K48" s="11" t="n"/>
      <c r="L48" s="14">
        <f>IFERROR(J48+K48,J48)</f>
        <v/>
      </c>
      <c r="M48" s="15">
        <f>IFERROR(IF(C48="CP",INT(G48*365),INT(G48*365)),"")</f>
        <v/>
      </c>
      <c r="N48" s="16">
        <f>IFERROR(L48*H48/100,"")</f>
        <v/>
      </c>
    </row>
    <row r="49" ht="18" customHeight="1">
      <c r="B49" s="8" t="n"/>
      <c r="C49" s="9" t="n"/>
      <c r="D49" s="9" t="n"/>
      <c r="E49" s="10" t="n"/>
      <c r="F49" s="9" t="n"/>
      <c r="G49" s="11" t="n"/>
      <c r="H49" s="12" t="n"/>
      <c r="I49" s="13" t="n"/>
      <c r="J49" s="11" t="n"/>
      <c r="K49" s="11" t="n"/>
      <c r="L49" s="14">
        <f>IFERROR(J49+K49,J49)</f>
        <v/>
      </c>
      <c r="M49" s="15">
        <f>IFERROR(IF(C49="CP",INT(G49*365),INT(G49*365)),"")</f>
        <v/>
      </c>
      <c r="N49" s="16">
        <f>IFERROR(L49*H49/100,"")</f>
        <v/>
      </c>
    </row>
    <row r="50" ht="18" customHeight="1">
      <c r="B50" s="8" t="n"/>
      <c r="C50" s="9" t="n"/>
      <c r="D50" s="9" t="n"/>
      <c r="E50" s="10" t="n"/>
      <c r="F50" s="9" t="n"/>
      <c r="G50" s="11" t="n"/>
      <c r="H50" s="12" t="n"/>
      <c r="I50" s="13" t="n"/>
      <c r="J50" s="11" t="n"/>
      <c r="K50" s="11" t="n"/>
      <c r="L50" s="14">
        <f>IFERROR(J50+K50,J50)</f>
        <v/>
      </c>
      <c r="M50" s="15">
        <f>IFERROR(IF(C50="CP",INT(G50*365),INT(G50*365)),"")</f>
        <v/>
      </c>
      <c r="N50" s="16">
        <f>IFERROR(L50*H50/100,"")</f>
        <v/>
      </c>
    </row>
    <row r="51" ht="18" customHeight="1">
      <c r="B51" s="8" t="n"/>
      <c r="C51" s="9" t="n"/>
      <c r="D51" s="9" t="n"/>
      <c r="E51" s="10" t="n"/>
      <c r="F51" s="9" t="n"/>
      <c r="G51" s="11" t="n"/>
      <c r="H51" s="12" t="n"/>
      <c r="I51" s="13" t="n"/>
      <c r="J51" s="11" t="n"/>
      <c r="K51" s="11" t="n"/>
      <c r="L51" s="14">
        <f>IFERROR(J51+K51,J51)</f>
        <v/>
      </c>
      <c r="M51" s="15">
        <f>IFERROR(IF(C51="CP",INT(G51*365),INT(G51*365)),"")</f>
        <v/>
      </c>
      <c r="N51" s="16">
        <f>IFERROR(L51*H51/100,"")</f>
        <v/>
      </c>
    </row>
    <row r="52" ht="18" customHeight="1">
      <c r="B52" s="8" t="n"/>
      <c r="C52" s="9" t="n"/>
      <c r="D52" s="9" t="n"/>
      <c r="E52" s="10" t="n"/>
      <c r="F52" s="9" t="n"/>
      <c r="G52" s="11" t="n"/>
      <c r="H52" s="12" t="n"/>
      <c r="I52" s="13" t="n"/>
      <c r="J52" s="11" t="n"/>
      <c r="K52" s="11" t="n"/>
      <c r="L52" s="14">
        <f>IFERROR(J52+K52,J52)</f>
        <v/>
      </c>
      <c r="M52" s="15">
        <f>IFERROR(IF(C52="CP",INT(G52*365),INT(G52*365)),"")</f>
        <v/>
      </c>
      <c r="N52" s="16">
        <f>IFERROR(L52*H52/100,"")</f>
        <v/>
      </c>
    </row>
    <row r="53" ht="18" customHeight="1">
      <c r="B53" s="8" t="n"/>
      <c r="C53" s="9" t="n"/>
      <c r="D53" s="9" t="n"/>
      <c r="E53" s="10" t="n"/>
      <c r="F53" s="9" t="n"/>
      <c r="G53" s="11" t="n"/>
      <c r="H53" s="12" t="n"/>
      <c r="I53" s="13" t="n"/>
      <c r="J53" s="11" t="n"/>
      <c r="K53" s="11" t="n"/>
      <c r="L53" s="14">
        <f>IFERROR(J53+K53,J53)</f>
        <v/>
      </c>
      <c r="M53" s="15">
        <f>IFERROR(IF(C53="CP",INT(G53*365),INT(G53*365)),"")</f>
        <v/>
      </c>
      <c r="N53" s="16">
        <f>IFERROR(L53*H53/100,"")</f>
        <v/>
      </c>
    </row>
    <row r="54" ht="18" customHeight="1">
      <c r="B54" s="8" t="n"/>
      <c r="C54" s="9" t="n"/>
      <c r="D54" s="9" t="n"/>
      <c r="E54" s="10" t="n"/>
      <c r="F54" s="9" t="n"/>
      <c r="G54" s="11" t="n"/>
      <c r="H54" s="12" t="n"/>
      <c r="I54" s="13" t="n"/>
      <c r="J54" s="11" t="n"/>
      <c r="K54" s="11" t="n"/>
      <c r="L54" s="14">
        <f>IFERROR(J54+K54,J54)</f>
        <v/>
      </c>
      <c r="M54" s="15">
        <f>IFERROR(IF(C54="CP",INT(G54*365),INT(G54*365)),"")</f>
        <v/>
      </c>
      <c r="N54" s="16">
        <f>IFERROR(L54*H54/100,"")</f>
        <v/>
      </c>
    </row>
    <row r="55" ht="18" customHeight="1">
      <c r="B55" s="8" t="n"/>
      <c r="C55" s="9" t="n"/>
      <c r="D55" s="9" t="n"/>
      <c r="E55" s="10" t="n"/>
      <c r="F55" s="9" t="n"/>
      <c r="G55" s="11" t="n"/>
      <c r="H55" s="12" t="n"/>
      <c r="I55" s="13" t="n"/>
      <c r="J55" s="11" t="n"/>
      <c r="K55" s="11" t="n"/>
      <c r="L55" s="14">
        <f>IFERROR(J55+K55,J55)</f>
        <v/>
      </c>
      <c r="M55" s="15">
        <f>IFERROR(IF(C55="CP",INT(G55*365),INT(G55*365)),"")</f>
        <v/>
      </c>
      <c r="N55" s="16">
        <f>IFERROR(L55*H55/100,"")</f>
        <v/>
      </c>
    </row>
    <row r="56" ht="18" customHeight="1">
      <c r="B56" s="8" t="n"/>
      <c r="C56" s="9" t="n"/>
      <c r="D56" s="9" t="n"/>
      <c r="E56" s="10" t="n"/>
      <c r="F56" s="9" t="n"/>
      <c r="G56" s="11" t="n"/>
      <c r="H56" s="12" t="n"/>
      <c r="I56" s="13" t="n"/>
      <c r="J56" s="11" t="n"/>
      <c r="K56" s="11" t="n"/>
      <c r="L56" s="14">
        <f>IFERROR(J56+K56,J56)</f>
        <v/>
      </c>
      <c r="M56" s="15">
        <f>IFERROR(IF(C56="CP",INT(G56*365),INT(G56*365)),"")</f>
        <v/>
      </c>
      <c r="N56" s="16">
        <f>IFERROR(L56*H56/100,"")</f>
        <v/>
      </c>
    </row>
    <row r="57" ht="18" customHeight="1">
      <c r="B57" s="8" t="n"/>
      <c r="C57" s="9" t="n"/>
      <c r="D57" s="9" t="n"/>
      <c r="E57" s="10" t="n"/>
      <c r="F57" s="9" t="n"/>
      <c r="G57" s="11" t="n"/>
      <c r="H57" s="12" t="n"/>
      <c r="I57" s="13" t="n"/>
      <c r="J57" s="11" t="n"/>
      <c r="K57" s="11" t="n"/>
      <c r="L57" s="14">
        <f>IFERROR(J57+K57,J57)</f>
        <v/>
      </c>
      <c r="M57" s="15">
        <f>IFERROR(IF(C57="CP",INT(G57*365),INT(G57*365)),"")</f>
        <v/>
      </c>
      <c r="N57" s="16">
        <f>IFERROR(L57*H57/100,"")</f>
        <v/>
      </c>
    </row>
    <row r="58" ht="18" customHeight="1">
      <c r="B58" s="8" t="n"/>
      <c r="C58" s="9" t="n"/>
      <c r="D58" s="9" t="n"/>
      <c r="E58" s="10" t="n"/>
      <c r="F58" s="9" t="n"/>
      <c r="G58" s="11" t="n"/>
      <c r="H58" s="12" t="n"/>
      <c r="I58" s="13" t="n"/>
      <c r="J58" s="11" t="n"/>
      <c r="K58" s="11" t="n"/>
      <c r="L58" s="14">
        <f>IFERROR(J58+K58,J58)</f>
        <v/>
      </c>
      <c r="M58" s="15">
        <f>IFERROR(IF(C58="CP",INT(G58*365),INT(G58*365)),"")</f>
        <v/>
      </c>
      <c r="N58" s="16">
        <f>IFERROR(L58*H58/100,"")</f>
        <v/>
      </c>
    </row>
    <row r="59" ht="18" customHeight="1">
      <c r="B59" s="8" t="n"/>
      <c r="C59" s="9" t="n"/>
      <c r="D59" s="9" t="n"/>
      <c r="E59" s="10" t="n"/>
      <c r="F59" s="9" t="n"/>
      <c r="G59" s="11" t="n"/>
      <c r="H59" s="12" t="n"/>
      <c r="I59" s="13" t="n"/>
      <c r="J59" s="11" t="n"/>
      <c r="K59" s="11" t="n"/>
      <c r="L59" s="14">
        <f>IFERROR(J59+K59,J59)</f>
        <v/>
      </c>
      <c r="M59" s="15">
        <f>IFERROR(IF(C59="CP",INT(G59*365),INT(G59*365)),"")</f>
        <v/>
      </c>
      <c r="N59" s="16">
        <f>IFERROR(L59*H59/100,"")</f>
        <v/>
      </c>
    </row>
    <row r="60" ht="18" customHeight="1">
      <c r="B60" s="8" t="n"/>
      <c r="C60" s="9" t="n"/>
      <c r="D60" s="9" t="n"/>
      <c r="E60" s="10" t="n"/>
      <c r="F60" s="9" t="n"/>
      <c r="G60" s="11" t="n"/>
      <c r="H60" s="12" t="n"/>
      <c r="I60" s="13" t="n"/>
      <c r="J60" s="11" t="n"/>
      <c r="K60" s="11" t="n"/>
      <c r="L60" s="14">
        <f>IFERROR(J60+K60,J60)</f>
        <v/>
      </c>
      <c r="M60" s="15">
        <f>IFERROR(IF(C60="CP",INT(G60*365),INT(G60*365)),"")</f>
        <v/>
      </c>
      <c r="N60" s="16">
        <f>IFERROR(L60*H60/100,"")</f>
        <v/>
      </c>
    </row>
    <row r="61" ht="18" customHeight="1">
      <c r="B61" s="8" t="n"/>
      <c r="C61" s="9" t="n"/>
      <c r="D61" s="9" t="n"/>
      <c r="E61" s="10" t="n"/>
      <c r="F61" s="9" t="n"/>
      <c r="G61" s="11" t="n"/>
      <c r="H61" s="12" t="n"/>
      <c r="I61" s="13" t="n"/>
      <c r="J61" s="11" t="n"/>
      <c r="K61" s="11" t="n"/>
      <c r="L61" s="14">
        <f>IFERROR(J61+K61,J61)</f>
        <v/>
      </c>
      <c r="M61" s="15">
        <f>IFERROR(IF(C61="CP",INT(G61*365),INT(G61*365)),"")</f>
        <v/>
      </c>
      <c r="N61" s="16">
        <f>IFERROR(L61*H61/100,"")</f>
        <v/>
      </c>
    </row>
    <row r="62" ht="18" customHeight="1">
      <c r="B62" s="8" t="n"/>
      <c r="C62" s="9" t="n"/>
      <c r="D62" s="9" t="n"/>
      <c r="E62" s="10" t="n"/>
      <c r="F62" s="9" t="n"/>
      <c r="G62" s="11" t="n"/>
      <c r="H62" s="12" t="n"/>
      <c r="I62" s="13" t="n"/>
      <c r="J62" s="11" t="n"/>
      <c r="K62" s="11" t="n"/>
      <c r="L62" s="14">
        <f>IFERROR(J62+K62,J62)</f>
        <v/>
      </c>
      <c r="M62" s="15">
        <f>IFERROR(IF(C62="CP",INT(G62*365),INT(G62*365)),"")</f>
        <v/>
      </c>
      <c r="N62" s="16">
        <f>IFERROR(L62*H62/100,"")</f>
        <v/>
      </c>
    </row>
    <row r="63" ht="18" customHeight="1">
      <c r="B63" s="8" t="n"/>
      <c r="C63" s="9" t="n"/>
      <c r="D63" s="9" t="n"/>
      <c r="E63" s="10" t="n"/>
      <c r="F63" s="9" t="n"/>
      <c r="G63" s="11" t="n"/>
      <c r="H63" s="12" t="n"/>
      <c r="I63" s="13" t="n"/>
      <c r="J63" s="11" t="n"/>
      <c r="K63" s="11" t="n"/>
      <c r="L63" s="14">
        <f>IFERROR(J63+K63,J63)</f>
        <v/>
      </c>
      <c r="M63" s="15">
        <f>IFERROR(IF(C63="CP",INT(G63*365),INT(G63*365)),"")</f>
        <v/>
      </c>
      <c r="N63" s="16">
        <f>IFERROR(L63*H63/100,"")</f>
        <v/>
      </c>
    </row>
    <row r="64" ht="18" customHeight="1">
      <c r="B64" s="8" t="n"/>
      <c r="C64" s="9" t="n"/>
      <c r="D64" s="9" t="n"/>
      <c r="E64" s="10" t="n"/>
      <c r="F64" s="9" t="n"/>
      <c r="G64" s="11" t="n"/>
      <c r="H64" s="12" t="n"/>
      <c r="I64" s="13" t="n"/>
      <c r="J64" s="11" t="n"/>
      <c r="K64" s="11" t="n"/>
      <c r="L64" s="14">
        <f>IFERROR(J64+K64,J64)</f>
        <v/>
      </c>
      <c r="M64" s="15">
        <f>IFERROR(IF(C64="CP",INT(G64*365),INT(G64*365)),"")</f>
        <v/>
      </c>
      <c r="N64" s="16">
        <f>IFERROR(L64*H64/100,"")</f>
        <v/>
      </c>
    </row>
    <row r="65" ht="18" customHeight="1">
      <c r="B65" s="8" t="n"/>
      <c r="C65" s="9" t="n"/>
      <c r="D65" s="9" t="n"/>
      <c r="E65" s="10" t="n"/>
      <c r="F65" s="9" t="n"/>
      <c r="G65" s="11" t="n"/>
      <c r="H65" s="12" t="n"/>
      <c r="I65" s="13" t="n"/>
      <c r="J65" s="11" t="n"/>
      <c r="K65" s="11" t="n"/>
      <c r="L65" s="14">
        <f>IFERROR(J65+K65,J65)</f>
        <v/>
      </c>
      <c r="M65" s="15">
        <f>IFERROR(IF(C65="CP",INT(G65*365),INT(G65*365)),"")</f>
        <v/>
      </c>
      <c r="N65" s="16">
        <f>IFERROR(L65*H65/100,"")</f>
        <v/>
      </c>
    </row>
    <row r="66" ht="18" customHeight="1">
      <c r="B66" s="8" t="n"/>
      <c r="C66" s="9" t="n"/>
      <c r="D66" s="9" t="n"/>
      <c r="E66" s="10" t="n"/>
      <c r="F66" s="9" t="n"/>
      <c r="G66" s="11" t="n"/>
      <c r="H66" s="12" t="n"/>
      <c r="I66" s="13" t="n"/>
      <c r="J66" s="11" t="n"/>
      <c r="K66" s="11" t="n"/>
      <c r="L66" s="14">
        <f>IFERROR(J66+K66,J66)</f>
        <v/>
      </c>
      <c r="M66" s="15">
        <f>IFERROR(IF(C66="CP",INT(G66*365),INT(G66*365)),"")</f>
        <v/>
      </c>
      <c r="N66" s="16">
        <f>IFERROR(L66*H66/100,"")</f>
        <v/>
      </c>
    </row>
    <row r="67" ht="18" customHeight="1">
      <c r="B67" s="8" t="n"/>
      <c r="C67" s="9" t="n"/>
      <c r="D67" s="9" t="n"/>
      <c r="E67" s="10" t="n"/>
      <c r="F67" s="9" t="n"/>
      <c r="G67" s="11" t="n"/>
      <c r="H67" s="12" t="n"/>
      <c r="I67" s="13" t="n"/>
      <c r="J67" s="11" t="n"/>
      <c r="K67" s="11" t="n"/>
      <c r="L67" s="14">
        <f>IFERROR(J67+K67,J67)</f>
        <v/>
      </c>
      <c r="M67" s="15">
        <f>IFERROR(IF(C67="CP",INT(G67*365),INT(G67*365)),"")</f>
        <v/>
      </c>
      <c r="N67" s="16">
        <f>IFERROR(L67*H67/100,"")</f>
        <v/>
      </c>
    </row>
    <row r="68" ht="18" customHeight="1">
      <c r="B68" s="8" t="n"/>
      <c r="C68" s="9" t="n"/>
      <c r="D68" s="9" t="n"/>
      <c r="E68" s="10" t="n"/>
      <c r="F68" s="9" t="n"/>
      <c r="G68" s="11" t="n"/>
      <c r="H68" s="12" t="n"/>
      <c r="I68" s="13" t="n"/>
      <c r="J68" s="11" t="n"/>
      <c r="K68" s="11" t="n"/>
      <c r="L68" s="14">
        <f>IFERROR(J68+K68,J68)</f>
        <v/>
      </c>
      <c r="M68" s="15">
        <f>IFERROR(IF(C68="CP",INT(G68*365),INT(G68*365)),"")</f>
        <v/>
      </c>
      <c r="N68" s="16">
        <f>IFERROR(L68*H68/100,"")</f>
        <v/>
      </c>
    </row>
    <row r="69" ht="18" customHeight="1">
      <c r="B69" s="8" t="n"/>
      <c r="C69" s="9" t="n"/>
      <c r="D69" s="9" t="n"/>
      <c r="E69" s="10" t="n"/>
      <c r="F69" s="9" t="n"/>
      <c r="G69" s="11" t="n"/>
      <c r="H69" s="12" t="n"/>
      <c r="I69" s="13" t="n"/>
      <c r="J69" s="11" t="n"/>
      <c r="K69" s="11" t="n"/>
      <c r="L69" s="14">
        <f>IFERROR(J69+K69,J69)</f>
        <v/>
      </c>
      <c r="M69" s="15">
        <f>IFERROR(IF(C69="CP",INT(G69*365),INT(G69*365)),"")</f>
        <v/>
      </c>
      <c r="N69" s="16">
        <f>IFERROR(L69*H69/100,"")</f>
        <v/>
      </c>
    </row>
    <row r="70" ht="18" customHeight="1">
      <c r="B70" s="8" t="n"/>
      <c r="C70" s="9" t="n"/>
      <c r="D70" s="9" t="n"/>
      <c r="E70" s="10" t="n"/>
      <c r="F70" s="9" t="n"/>
      <c r="G70" s="11" t="n"/>
      <c r="H70" s="12" t="n"/>
      <c r="I70" s="13" t="n"/>
      <c r="J70" s="11" t="n"/>
      <c r="K70" s="11" t="n"/>
      <c r="L70" s="14">
        <f>IFERROR(J70+K70,J70)</f>
        <v/>
      </c>
      <c r="M70" s="15">
        <f>IFERROR(IF(C70="CP",INT(G70*365),INT(G70*365)),"")</f>
        <v/>
      </c>
      <c r="N70" s="16">
        <f>IFERROR(L70*H70/100,"")</f>
        <v/>
      </c>
    </row>
    <row r="71" ht="18" customHeight="1">
      <c r="B71" s="8" t="n"/>
      <c r="C71" s="9" t="n"/>
      <c r="D71" s="9" t="n"/>
      <c r="E71" s="10" t="n"/>
      <c r="F71" s="9" t="n"/>
      <c r="G71" s="11" t="n"/>
      <c r="H71" s="12" t="n"/>
      <c r="I71" s="13" t="n"/>
      <c r="J71" s="11" t="n"/>
      <c r="K71" s="11" t="n"/>
      <c r="L71" s="14">
        <f>IFERROR(J71+K71,J71)</f>
        <v/>
      </c>
      <c r="M71" s="15">
        <f>IFERROR(IF(C71="CP",INT(G71*365),INT(G71*365)),"")</f>
        <v/>
      </c>
      <c r="N71" s="16">
        <f>IFERROR(L71*H71/100,"")</f>
        <v/>
      </c>
    </row>
    <row r="72" ht="18" customHeight="1">
      <c r="B72" s="8" t="n"/>
      <c r="C72" s="9" t="n"/>
      <c r="D72" s="9" t="n"/>
      <c r="E72" s="10" t="n"/>
      <c r="F72" s="9" t="n"/>
      <c r="G72" s="11" t="n"/>
      <c r="H72" s="12" t="n"/>
      <c r="I72" s="13" t="n"/>
      <c r="J72" s="11" t="n"/>
      <c r="K72" s="11" t="n"/>
      <c r="L72" s="14">
        <f>IFERROR(J72+K72,J72)</f>
        <v/>
      </c>
      <c r="M72" s="15">
        <f>IFERROR(IF(C72="CP",INT(G72*365),INT(G72*365)),"")</f>
        <v/>
      </c>
      <c r="N72" s="16">
        <f>IFERROR(L72*H72/100,"")</f>
        <v/>
      </c>
    </row>
    <row r="73" ht="18" customHeight="1">
      <c r="B73" s="8" t="n"/>
      <c r="C73" s="9" t="n"/>
      <c r="D73" s="9" t="n"/>
      <c r="E73" s="10" t="n"/>
      <c r="F73" s="9" t="n"/>
      <c r="G73" s="11" t="n"/>
      <c r="H73" s="12" t="n"/>
      <c r="I73" s="13" t="n"/>
      <c r="J73" s="11" t="n"/>
      <c r="K73" s="11" t="n"/>
      <c r="L73" s="14">
        <f>IFERROR(J73+K73,J73)</f>
        <v/>
      </c>
      <c r="M73" s="15">
        <f>IFERROR(IF(C73="CP",INT(G73*365),INT(G73*365)),"")</f>
        <v/>
      </c>
      <c r="N73" s="16">
        <f>IFERROR(L73*H73/100,"")</f>
        <v/>
      </c>
    </row>
    <row r="74" ht="18" customHeight="1">
      <c r="B74" s="8" t="n"/>
      <c r="C74" s="9" t="n"/>
      <c r="D74" s="9" t="n"/>
      <c r="E74" s="10" t="n"/>
      <c r="F74" s="9" t="n"/>
      <c r="G74" s="11" t="n"/>
      <c r="H74" s="12" t="n"/>
      <c r="I74" s="13" t="n"/>
      <c r="J74" s="11" t="n"/>
      <c r="K74" s="11" t="n"/>
      <c r="L74" s="14">
        <f>IFERROR(J74+K74,J74)</f>
        <v/>
      </c>
      <c r="M74" s="15">
        <f>IFERROR(IF(C74="CP",INT(G74*365),INT(G74*365)),"")</f>
        <v/>
      </c>
      <c r="N74" s="16">
        <f>IFERROR(L74*H74/100,"")</f>
        <v/>
      </c>
    </row>
    <row r="75" ht="18" customHeight="1">
      <c r="B75" s="8" t="n"/>
      <c r="C75" s="9" t="n"/>
      <c r="D75" s="9" t="n"/>
      <c r="E75" s="10" t="n"/>
      <c r="F75" s="9" t="n"/>
      <c r="G75" s="11" t="n"/>
      <c r="H75" s="12" t="n"/>
      <c r="I75" s="13" t="n"/>
      <c r="J75" s="11" t="n"/>
      <c r="K75" s="11" t="n"/>
      <c r="L75" s="14">
        <f>IFERROR(J75+K75,J75)</f>
        <v/>
      </c>
      <c r="M75" s="15">
        <f>IFERROR(IF(C75="CP",INT(G75*365),INT(G75*365)),"")</f>
        <v/>
      </c>
      <c r="N75" s="16">
        <f>IFERROR(L75*H75/100,"")</f>
        <v/>
      </c>
    </row>
    <row r="76" ht="18" customHeight="1">
      <c r="B76" s="8" t="n"/>
      <c r="C76" s="9" t="n"/>
      <c r="D76" s="9" t="n"/>
      <c r="E76" s="10" t="n"/>
      <c r="F76" s="9" t="n"/>
      <c r="G76" s="11" t="n"/>
      <c r="H76" s="12" t="n"/>
      <c r="I76" s="13" t="n"/>
      <c r="J76" s="11" t="n"/>
      <c r="K76" s="11" t="n"/>
      <c r="L76" s="14">
        <f>IFERROR(J76+K76,J76)</f>
        <v/>
      </c>
      <c r="M76" s="15">
        <f>IFERROR(IF(C76="CP",INT(G76*365),INT(G76*365)),"")</f>
        <v/>
      </c>
      <c r="N76" s="16">
        <f>IFERROR(L76*H76/100,"")</f>
        <v/>
      </c>
    </row>
    <row r="77" ht="18" customHeight="1">
      <c r="B77" s="8" t="n"/>
      <c r="C77" s="9" t="n"/>
      <c r="D77" s="9" t="n"/>
      <c r="E77" s="10" t="n"/>
      <c r="F77" s="9" t="n"/>
      <c r="G77" s="11" t="n"/>
      <c r="H77" s="12" t="n"/>
      <c r="I77" s="13" t="n"/>
      <c r="J77" s="11" t="n"/>
      <c r="K77" s="11" t="n"/>
      <c r="L77" s="14">
        <f>IFERROR(J77+K77,J77)</f>
        <v/>
      </c>
      <c r="M77" s="15">
        <f>IFERROR(IF(C77="CP",INT(G77*365),INT(G77*365)),"")</f>
        <v/>
      </c>
      <c r="N77" s="16">
        <f>IFERROR(L77*H77/100,"")</f>
        <v/>
      </c>
    </row>
    <row r="78" ht="18" customHeight="1">
      <c r="B78" s="8" t="n"/>
      <c r="C78" s="9" t="n"/>
      <c r="D78" s="9" t="n"/>
      <c r="E78" s="10" t="n"/>
      <c r="F78" s="9" t="n"/>
      <c r="G78" s="11" t="n"/>
      <c r="H78" s="12" t="n"/>
      <c r="I78" s="13" t="n"/>
      <c r="J78" s="11" t="n"/>
      <c r="K78" s="11" t="n"/>
      <c r="L78" s="14">
        <f>IFERROR(J78+K78,J78)</f>
        <v/>
      </c>
      <c r="M78" s="15">
        <f>IFERROR(IF(C78="CP",INT(G78*365),INT(G78*365)),"")</f>
        <v/>
      </c>
      <c r="N78" s="16">
        <f>IFERROR(L78*H78/100,"")</f>
        <v/>
      </c>
    </row>
    <row r="79" ht="18" customHeight="1">
      <c r="B79" s="8" t="n"/>
      <c r="C79" s="9" t="n"/>
      <c r="D79" s="9" t="n"/>
      <c r="E79" s="10" t="n"/>
      <c r="F79" s="9" t="n"/>
      <c r="G79" s="11" t="n"/>
      <c r="H79" s="12" t="n"/>
      <c r="I79" s="13" t="n"/>
      <c r="J79" s="11" t="n"/>
      <c r="K79" s="11" t="n"/>
      <c r="L79" s="14">
        <f>IFERROR(J79+K79,J79)</f>
        <v/>
      </c>
      <c r="M79" s="15">
        <f>IFERROR(IF(C79="CP",INT(G79*365),INT(G79*365)),"")</f>
        <v/>
      </c>
      <c r="N79" s="16">
        <f>IFERROR(L79*H79/100,"")</f>
        <v/>
      </c>
    </row>
    <row r="80" ht="18" customHeight="1">
      <c r="B80" s="8" t="n"/>
      <c r="C80" s="9" t="n"/>
      <c r="D80" s="9" t="n"/>
      <c r="E80" s="10" t="n"/>
      <c r="F80" s="9" t="n"/>
      <c r="G80" s="11" t="n"/>
      <c r="H80" s="12" t="n"/>
      <c r="I80" s="13" t="n"/>
      <c r="J80" s="11" t="n"/>
      <c r="K80" s="11" t="n"/>
      <c r="L80" s="14">
        <f>IFERROR(J80+K80,J80)</f>
        <v/>
      </c>
      <c r="M80" s="15">
        <f>IFERROR(IF(C80="CP",INT(G80*365),INT(G80*365)),"")</f>
        <v/>
      </c>
      <c r="N80" s="16">
        <f>IFERROR(L80*H80/100,"")</f>
        <v/>
      </c>
    </row>
    <row r="81" ht="18" customHeight="1">
      <c r="B81" s="8" t="n"/>
      <c r="C81" s="9" t="n"/>
      <c r="D81" s="9" t="n"/>
      <c r="E81" s="10" t="n"/>
      <c r="F81" s="9" t="n"/>
      <c r="G81" s="11" t="n"/>
      <c r="H81" s="12" t="n"/>
      <c r="I81" s="13" t="n"/>
      <c r="J81" s="11" t="n"/>
      <c r="K81" s="11" t="n"/>
      <c r="L81" s="14">
        <f>IFERROR(J81+K81,J81)</f>
        <v/>
      </c>
      <c r="M81" s="15">
        <f>IFERROR(IF(C81="CP",INT(G81*365),INT(G81*365)),"")</f>
        <v/>
      </c>
      <c r="N81" s="16">
        <f>IFERROR(L81*H81/100,"")</f>
        <v/>
      </c>
    </row>
    <row r="82" ht="18" customHeight="1">
      <c r="B82" s="8" t="n"/>
      <c r="C82" s="9" t="n"/>
      <c r="D82" s="9" t="n"/>
      <c r="E82" s="10" t="n"/>
      <c r="F82" s="9" t="n"/>
      <c r="G82" s="11" t="n"/>
      <c r="H82" s="12" t="n"/>
      <c r="I82" s="13" t="n"/>
      <c r="J82" s="11" t="n"/>
      <c r="K82" s="11" t="n"/>
      <c r="L82" s="14">
        <f>IFERROR(J82+K82,J82)</f>
        <v/>
      </c>
      <c r="M82" s="15">
        <f>IFERROR(IF(C82="CP",INT(G82*365),INT(G82*365)),"")</f>
        <v/>
      </c>
      <c r="N82" s="16">
        <f>IFERROR(L82*H82/100,"")</f>
        <v/>
      </c>
    </row>
    <row r="83" ht="18" customHeight="1">
      <c r="B83" s="8" t="n"/>
      <c r="C83" s="9" t="n"/>
      <c r="D83" s="9" t="n"/>
      <c r="E83" s="10" t="n"/>
      <c r="F83" s="9" t="n"/>
      <c r="G83" s="11" t="n"/>
      <c r="H83" s="12" t="n"/>
      <c r="I83" s="13" t="n"/>
      <c r="J83" s="11" t="n"/>
      <c r="K83" s="11" t="n"/>
      <c r="L83" s="14">
        <f>IFERROR(J83+K83,J83)</f>
        <v/>
      </c>
      <c r="M83" s="15">
        <f>IFERROR(IF(C83="CP",INT(G83*365),INT(G83*365)),"")</f>
        <v/>
      </c>
      <c r="N83" s="16">
        <f>IFERROR(L83*H83/100,"")</f>
        <v/>
      </c>
    </row>
    <row r="84" ht="18" customHeight="1">
      <c r="B84" s="8" t="n"/>
      <c r="C84" s="9" t="n"/>
      <c r="D84" s="9" t="n"/>
      <c r="E84" s="10" t="n"/>
      <c r="F84" s="9" t="n"/>
      <c r="G84" s="11" t="n"/>
      <c r="H84" s="12" t="n"/>
      <c r="I84" s="13" t="n"/>
      <c r="J84" s="11" t="n"/>
      <c r="K84" s="11" t="n"/>
      <c r="L84" s="14">
        <f>IFERROR(J84+K84,J84)</f>
        <v/>
      </c>
      <c r="M84" s="15">
        <f>IFERROR(IF(C84="CP",INT(G84*365),INT(G84*365)),"")</f>
        <v/>
      </c>
      <c r="N84" s="16">
        <f>IFERROR(L84*H84/100,"")</f>
        <v/>
      </c>
    </row>
    <row r="85" ht="18" customHeight="1">
      <c r="B85" s="8" t="n"/>
      <c r="C85" s="9" t="n"/>
      <c r="D85" s="9" t="n"/>
      <c r="E85" s="10" t="n"/>
      <c r="F85" s="9" t="n"/>
      <c r="G85" s="11" t="n"/>
      <c r="H85" s="12" t="n"/>
      <c r="I85" s="13" t="n"/>
      <c r="J85" s="11" t="n"/>
      <c r="K85" s="11" t="n"/>
      <c r="L85" s="14">
        <f>IFERROR(J85+K85,J85)</f>
        <v/>
      </c>
      <c r="M85" s="15">
        <f>IFERROR(IF(C85="CP",INT(G85*365),INT(G85*365)),"")</f>
        <v/>
      </c>
      <c r="N85" s="16">
        <f>IFERROR(L85*H85/100,"")</f>
        <v/>
      </c>
    </row>
    <row r="86" ht="18" customHeight="1">
      <c r="B86" s="8" t="n"/>
      <c r="C86" s="9" t="n"/>
      <c r="D86" s="9" t="n"/>
      <c r="E86" s="10" t="n"/>
      <c r="F86" s="9" t="n"/>
      <c r="G86" s="11" t="n"/>
      <c r="H86" s="12" t="n"/>
      <c r="I86" s="13" t="n"/>
      <c r="J86" s="11" t="n"/>
      <c r="K86" s="11" t="n"/>
      <c r="L86" s="14">
        <f>IFERROR(J86+K86,J86)</f>
        <v/>
      </c>
      <c r="M86" s="15">
        <f>IFERROR(IF(C86="CP",INT(G86*365),INT(G86*365)),"")</f>
        <v/>
      </c>
      <c r="N86" s="16">
        <f>IFERROR(L86*H86/100,"")</f>
        <v/>
      </c>
    </row>
    <row r="87" ht="18" customHeight="1">
      <c r="B87" s="8" t="n"/>
      <c r="C87" s="9" t="n"/>
      <c r="D87" s="9" t="n"/>
      <c r="E87" s="10" t="n"/>
      <c r="F87" s="9" t="n"/>
      <c r="G87" s="11" t="n"/>
      <c r="H87" s="12" t="n"/>
      <c r="I87" s="13" t="n"/>
      <c r="J87" s="11" t="n"/>
      <c r="K87" s="11" t="n"/>
      <c r="L87" s="14">
        <f>IFERROR(J87+K87,J87)</f>
        <v/>
      </c>
      <c r="M87" s="15">
        <f>IFERROR(IF(C87="CP",INT(G87*365),INT(G87*365)),"")</f>
        <v/>
      </c>
      <c r="N87" s="16">
        <f>IFERROR(L87*H87/100,"")</f>
        <v/>
      </c>
    </row>
    <row r="88" ht="18" customHeight="1">
      <c r="B88" s="8" t="n"/>
      <c r="C88" s="9" t="n"/>
      <c r="D88" s="9" t="n"/>
      <c r="E88" s="10" t="n"/>
      <c r="F88" s="9" t="n"/>
      <c r="G88" s="11" t="n"/>
      <c r="H88" s="12" t="n"/>
      <c r="I88" s="13" t="n"/>
      <c r="J88" s="11" t="n"/>
      <c r="K88" s="11" t="n"/>
      <c r="L88" s="14">
        <f>IFERROR(J88+K88,J88)</f>
        <v/>
      </c>
      <c r="M88" s="15">
        <f>IFERROR(IF(C88="CP",INT(G88*365),INT(G88*365)),"")</f>
        <v/>
      </c>
      <c r="N88" s="16">
        <f>IFERROR(L88*H88/100,"")</f>
        <v/>
      </c>
    </row>
    <row r="89" ht="18" customHeight="1">
      <c r="B89" s="8" t="n"/>
      <c r="C89" s="9" t="n"/>
      <c r="D89" s="9" t="n"/>
      <c r="E89" s="10" t="n"/>
      <c r="F89" s="9" t="n"/>
      <c r="G89" s="11" t="n"/>
      <c r="H89" s="12" t="n"/>
      <c r="I89" s="13" t="n"/>
      <c r="J89" s="11" t="n"/>
      <c r="K89" s="11" t="n"/>
      <c r="L89" s="14">
        <f>IFERROR(J89+K89,J89)</f>
        <v/>
      </c>
      <c r="M89" s="15">
        <f>IFERROR(IF(C89="CP",INT(G89*365),INT(G89*365)),"")</f>
        <v/>
      </c>
      <c r="N89" s="16">
        <f>IFERROR(L89*H89/100,"")</f>
        <v/>
      </c>
    </row>
    <row r="90" ht="18" customHeight="1">
      <c r="B90" s="8" t="n"/>
      <c r="C90" s="9" t="n"/>
      <c r="D90" s="9" t="n"/>
      <c r="E90" s="10" t="n"/>
      <c r="F90" s="9" t="n"/>
      <c r="G90" s="11" t="n"/>
      <c r="H90" s="12" t="n"/>
      <c r="I90" s="13" t="n"/>
      <c r="J90" s="11" t="n"/>
      <c r="K90" s="11" t="n"/>
      <c r="L90" s="14">
        <f>IFERROR(J90+K90,J90)</f>
        <v/>
      </c>
      <c r="M90" s="15">
        <f>IFERROR(IF(C90="CP",INT(G90*365),INT(G90*365)),"")</f>
        <v/>
      </c>
      <c r="N90" s="16">
        <f>IFERROR(L90*H90/100,"")</f>
        <v/>
      </c>
    </row>
    <row r="91" ht="18" customHeight="1">
      <c r="B91" s="8" t="n"/>
      <c r="C91" s="9" t="n"/>
      <c r="D91" s="9" t="n"/>
      <c r="E91" s="10" t="n"/>
      <c r="F91" s="9" t="n"/>
      <c r="G91" s="11" t="n"/>
      <c r="H91" s="12" t="n"/>
      <c r="I91" s="13" t="n"/>
      <c r="J91" s="11" t="n"/>
      <c r="K91" s="11" t="n"/>
      <c r="L91" s="14">
        <f>IFERROR(J91+K91,J91)</f>
        <v/>
      </c>
      <c r="M91" s="15">
        <f>IFERROR(IF(C91="CP",INT(G91*365),INT(G91*365)),"")</f>
        <v/>
      </c>
      <c r="N91" s="16">
        <f>IFERROR(L91*H91/100,"")</f>
        <v/>
      </c>
    </row>
    <row r="92" ht="18" customHeight="1">
      <c r="B92" s="8" t="n"/>
      <c r="C92" s="9" t="n"/>
      <c r="D92" s="9" t="n"/>
      <c r="E92" s="10" t="n"/>
      <c r="F92" s="9" t="n"/>
      <c r="G92" s="11" t="n"/>
      <c r="H92" s="12" t="n"/>
      <c r="I92" s="13" t="n"/>
      <c r="J92" s="11" t="n"/>
      <c r="K92" s="11" t="n"/>
      <c r="L92" s="14">
        <f>IFERROR(J92+K92,J92)</f>
        <v/>
      </c>
      <c r="M92" s="15">
        <f>IFERROR(IF(C92="CP",INT(G92*365),INT(G92*365)),"")</f>
        <v/>
      </c>
      <c r="N92" s="16">
        <f>IFERROR(L92*H92/100,"")</f>
        <v/>
      </c>
    </row>
    <row r="93" ht="18" customHeight="1">
      <c r="B93" s="8" t="n"/>
      <c r="C93" s="9" t="n"/>
      <c r="D93" s="9" t="n"/>
      <c r="E93" s="10" t="n"/>
      <c r="F93" s="9" t="n"/>
      <c r="G93" s="11" t="n"/>
      <c r="H93" s="12" t="n"/>
      <c r="I93" s="13" t="n"/>
      <c r="J93" s="11" t="n"/>
      <c r="K93" s="11" t="n"/>
      <c r="L93" s="14">
        <f>IFERROR(J93+K93,J93)</f>
        <v/>
      </c>
      <c r="M93" s="15">
        <f>IFERROR(IF(C93="CP",INT(G93*365),INT(G93*365)),"")</f>
        <v/>
      </c>
      <c r="N93" s="16">
        <f>IFERROR(L93*H93/100,"")</f>
        <v/>
      </c>
    </row>
    <row r="94" ht="18" customHeight="1">
      <c r="B94" s="8" t="n"/>
      <c r="C94" s="9" t="n"/>
      <c r="D94" s="9" t="n"/>
      <c r="E94" s="10" t="n"/>
      <c r="F94" s="9" t="n"/>
      <c r="G94" s="11" t="n"/>
      <c r="H94" s="12" t="n"/>
      <c r="I94" s="13" t="n"/>
      <c r="J94" s="11" t="n"/>
      <c r="K94" s="11" t="n"/>
      <c r="L94" s="14">
        <f>IFERROR(J94+K94,J94)</f>
        <v/>
      </c>
      <c r="M94" s="15">
        <f>IFERROR(IF(C94="CP",INT(G94*365),INT(G94*365)),"")</f>
        <v/>
      </c>
      <c r="N94" s="16">
        <f>IFERROR(L94*H94/100,"")</f>
        <v/>
      </c>
    </row>
    <row r="95" ht="18" customHeight="1">
      <c r="B95" s="8" t="n"/>
      <c r="C95" s="9" t="n"/>
      <c r="D95" s="9" t="n"/>
      <c r="E95" s="10" t="n"/>
      <c r="F95" s="9" t="n"/>
      <c r="G95" s="11" t="n"/>
      <c r="H95" s="12" t="n"/>
      <c r="I95" s="13" t="n"/>
      <c r="J95" s="11" t="n"/>
      <c r="K95" s="11" t="n"/>
      <c r="L95" s="14">
        <f>IFERROR(J95+K95,J95)</f>
        <v/>
      </c>
      <c r="M95" s="15">
        <f>IFERROR(IF(C95="CP",INT(G95*365),INT(G95*365)),"")</f>
        <v/>
      </c>
      <c r="N95" s="16">
        <f>IFERROR(L95*H95/100,"")</f>
        <v/>
      </c>
    </row>
    <row r="96" ht="18" customHeight="1">
      <c r="B96" s="8" t="n"/>
      <c r="C96" s="9" t="n"/>
      <c r="D96" s="9" t="n"/>
      <c r="E96" s="10" t="n"/>
      <c r="F96" s="9" t="n"/>
      <c r="G96" s="11" t="n"/>
      <c r="H96" s="12" t="n"/>
      <c r="I96" s="13" t="n"/>
      <c r="J96" s="11" t="n"/>
      <c r="K96" s="11" t="n"/>
      <c r="L96" s="14">
        <f>IFERROR(J96+K96,J96)</f>
        <v/>
      </c>
      <c r="M96" s="15">
        <f>IFERROR(IF(C96="CP",INT(G96*365),INT(G96*365)),"")</f>
        <v/>
      </c>
      <c r="N96" s="16">
        <f>IFERROR(L96*H96/100,"")</f>
        <v/>
      </c>
    </row>
    <row r="97" ht="18" customHeight="1">
      <c r="B97" s="8" t="n"/>
      <c r="C97" s="9" t="n"/>
      <c r="D97" s="9" t="n"/>
      <c r="E97" s="10" t="n"/>
      <c r="F97" s="9" t="n"/>
      <c r="G97" s="11" t="n"/>
      <c r="H97" s="12" t="n"/>
      <c r="I97" s="13" t="n"/>
      <c r="J97" s="11" t="n"/>
      <c r="K97" s="11" t="n"/>
      <c r="L97" s="14">
        <f>IFERROR(J97+K97,J97)</f>
        <v/>
      </c>
      <c r="M97" s="15">
        <f>IFERROR(IF(C97="CP",INT(G97*365),INT(G97*365)),"")</f>
        <v/>
      </c>
      <c r="N97" s="16">
        <f>IFERROR(L97*H97/100,"")</f>
        <v/>
      </c>
    </row>
    <row r="98" ht="18" customHeight="1">
      <c r="B98" s="8" t="n"/>
      <c r="C98" s="9" t="n"/>
      <c r="D98" s="9" t="n"/>
      <c r="E98" s="10" t="n"/>
      <c r="F98" s="9" t="n"/>
      <c r="G98" s="11" t="n"/>
      <c r="H98" s="12" t="n"/>
      <c r="I98" s="13" t="n"/>
      <c r="J98" s="11" t="n"/>
      <c r="K98" s="11" t="n"/>
      <c r="L98" s="14">
        <f>IFERROR(J98+K98,J98)</f>
        <v/>
      </c>
      <c r="M98" s="15">
        <f>IFERROR(IF(C98="CP",INT(G98*365),INT(G98*365)),"")</f>
        <v/>
      </c>
      <c r="N98" s="16">
        <f>IFERROR(L98*H98/100,"")</f>
        <v/>
      </c>
    </row>
    <row r="99" ht="18" customHeight="1">
      <c r="B99" s="8" t="n"/>
      <c r="C99" s="9" t="n"/>
      <c r="D99" s="9" t="n"/>
      <c r="E99" s="10" t="n"/>
      <c r="F99" s="9" t="n"/>
      <c r="G99" s="11" t="n"/>
      <c r="H99" s="12" t="n"/>
      <c r="I99" s="13" t="n"/>
      <c r="J99" s="11" t="n"/>
      <c r="K99" s="11" t="n"/>
      <c r="L99" s="14">
        <f>IFERROR(J99+K99,J99)</f>
        <v/>
      </c>
      <c r="M99" s="15">
        <f>IFERROR(IF(C99="CP",INT(G99*365),INT(G99*365)),"")</f>
        <v/>
      </c>
      <c r="N99" s="16">
        <f>IFERROR(L99*H99/100,"")</f>
        <v/>
      </c>
    </row>
    <row r="100" ht="18" customHeight="1">
      <c r="B100" s="8" t="n"/>
      <c r="C100" s="9" t="n"/>
      <c r="D100" s="9" t="n"/>
      <c r="E100" s="10" t="n"/>
      <c r="F100" s="9" t="n"/>
      <c r="G100" s="11" t="n"/>
      <c r="H100" s="12" t="n"/>
      <c r="I100" s="13" t="n"/>
      <c r="J100" s="11" t="n"/>
      <c r="K100" s="11" t="n"/>
      <c r="L100" s="14">
        <f>IFERROR(J100+K100,J100)</f>
        <v/>
      </c>
      <c r="M100" s="15">
        <f>IFERROR(IF(C100="CP",INT(G100*365),INT(G100*365)),"")</f>
        <v/>
      </c>
      <c r="N100" s="16">
        <f>IFERROR(L100*H100/100,"")</f>
        <v/>
      </c>
    </row>
    <row r="101" ht="18" customHeight="1">
      <c r="B101" s="8" t="n"/>
      <c r="C101" s="9" t="n"/>
      <c r="D101" s="9" t="n"/>
      <c r="E101" s="10" t="n"/>
      <c r="F101" s="9" t="n"/>
      <c r="G101" s="11" t="n"/>
      <c r="H101" s="12" t="n"/>
      <c r="I101" s="13" t="n"/>
      <c r="J101" s="11" t="n"/>
      <c r="K101" s="11" t="n"/>
      <c r="L101" s="14">
        <f>IFERROR(J101+K101,J101)</f>
        <v/>
      </c>
      <c r="M101" s="15">
        <f>IFERROR(IF(C101="CP",INT(G101*365),INT(G101*365)),"")</f>
        <v/>
      </c>
      <c r="N101" s="16">
        <f>IFERROR(L101*H101/100,"")</f>
        <v/>
      </c>
    </row>
    <row r="102" ht="18" customHeight="1">
      <c r="B102" s="8" t="n"/>
      <c r="C102" s="9" t="n"/>
      <c r="D102" s="9" t="n"/>
      <c r="E102" s="10" t="n"/>
      <c r="F102" s="9" t="n"/>
      <c r="G102" s="11" t="n"/>
      <c r="H102" s="12" t="n"/>
      <c r="I102" s="13" t="n"/>
      <c r="J102" s="11" t="n"/>
      <c r="K102" s="11" t="n"/>
      <c r="L102" s="14">
        <f>IFERROR(J102+K102,J102)</f>
        <v/>
      </c>
      <c r="M102" s="15">
        <f>IFERROR(IF(C102="CP",INT(G102*365),INT(G102*365)),"")</f>
        <v/>
      </c>
      <c r="N102" s="16">
        <f>IFERROR(L102*H102/100,"")</f>
        <v/>
      </c>
    </row>
    <row r="103" ht="18" customHeight="1">
      <c r="B103" s="8" t="n"/>
      <c r="C103" s="9" t="n"/>
      <c r="D103" s="9" t="n"/>
      <c r="E103" s="10" t="n"/>
      <c r="F103" s="9" t="n"/>
      <c r="G103" s="11" t="n"/>
      <c r="H103" s="12" t="n"/>
      <c r="I103" s="13" t="n"/>
      <c r="J103" s="11" t="n"/>
      <c r="K103" s="11" t="n"/>
      <c r="L103" s="14">
        <f>IFERROR(J103+K103,J103)</f>
        <v/>
      </c>
      <c r="M103" s="15">
        <f>IFERROR(IF(C103="CP",INT(G103*365),INT(G103*365)),"")</f>
        <v/>
      </c>
      <c r="N103" s="16">
        <f>IFERROR(L103*H103/100,"")</f>
        <v/>
      </c>
    </row>
    <row r="104" ht="18" customHeight="1">
      <c r="B104" s="8" t="n"/>
      <c r="C104" s="9" t="n"/>
      <c r="D104" s="9" t="n"/>
      <c r="E104" s="10" t="n"/>
      <c r="F104" s="9" t="n"/>
      <c r="G104" s="11" t="n"/>
      <c r="H104" s="12" t="n"/>
      <c r="I104" s="13" t="n"/>
      <c r="J104" s="11" t="n"/>
      <c r="K104" s="11" t="n"/>
      <c r="L104" s="14">
        <f>IFERROR(J104+K104,J104)</f>
        <v/>
      </c>
      <c r="M104" s="15">
        <f>IFERROR(IF(C104="CP",INT(G104*365),INT(G104*365)),"")</f>
        <v/>
      </c>
      <c r="N104" s="16">
        <f>IFERROR(L104*H104/100,"")</f>
        <v/>
      </c>
    </row>
    <row r="105" ht="18" customHeight="1">
      <c r="B105" s="8" t="n"/>
      <c r="C105" s="9" t="n"/>
      <c r="D105" s="9" t="n"/>
      <c r="E105" s="10" t="n"/>
      <c r="F105" s="9" t="n"/>
      <c r="G105" s="11" t="n"/>
      <c r="H105" s="12" t="n"/>
      <c r="I105" s="13" t="n"/>
      <c r="J105" s="11" t="n"/>
      <c r="K105" s="11" t="n"/>
      <c r="L105" s="14">
        <f>IFERROR(J105+K105,J105)</f>
        <v/>
      </c>
      <c r="M105" s="15">
        <f>IFERROR(IF(C105="CP",INT(G105*365),INT(G105*365)),"")</f>
        <v/>
      </c>
      <c r="N105" s="16">
        <f>IFERROR(L105*H105/100,"")</f>
        <v/>
      </c>
    </row>
    <row r="106" ht="18" customHeight="1">
      <c r="B106" s="8" t="n"/>
      <c r="C106" s="9" t="n"/>
      <c r="D106" s="9" t="n"/>
      <c r="E106" s="10" t="n"/>
      <c r="F106" s="9" t="n"/>
      <c r="G106" s="11" t="n"/>
      <c r="H106" s="12" t="n"/>
      <c r="I106" s="13" t="n"/>
      <c r="J106" s="11" t="n"/>
      <c r="K106" s="11" t="n"/>
      <c r="L106" s="14">
        <f>IFERROR(J106+K106,J106)</f>
        <v/>
      </c>
      <c r="M106" s="15">
        <f>IFERROR(IF(C106="CP",INT(G106*365),INT(G106*365)),"")</f>
        <v/>
      </c>
      <c r="N106" s="16">
        <f>IFERROR(L106*H106/100,"")</f>
        <v/>
      </c>
    </row>
    <row r="107" ht="18" customHeight="1">
      <c r="B107" s="8" t="n"/>
      <c r="C107" s="9" t="n"/>
      <c r="D107" s="9" t="n"/>
      <c r="E107" s="10" t="n"/>
      <c r="F107" s="9" t="n"/>
      <c r="G107" s="11" t="n"/>
      <c r="H107" s="12" t="n"/>
      <c r="I107" s="13" t="n"/>
      <c r="J107" s="11" t="n"/>
      <c r="K107" s="11" t="n"/>
      <c r="L107" s="14">
        <f>IFERROR(J107+K107,J107)</f>
        <v/>
      </c>
      <c r="M107" s="15">
        <f>IFERROR(IF(C107="CP",INT(G107*365),INT(G107*365)),"")</f>
        <v/>
      </c>
      <c r="N107" s="16">
        <f>IFERROR(L107*H107/100,"")</f>
        <v/>
      </c>
    </row>
    <row r="108" ht="18" customHeight="1">
      <c r="B108" s="8" t="n"/>
      <c r="C108" s="9" t="n"/>
      <c r="D108" s="9" t="n"/>
      <c r="E108" s="10" t="n"/>
      <c r="F108" s="9" t="n"/>
      <c r="G108" s="11" t="n"/>
      <c r="H108" s="12" t="n"/>
      <c r="I108" s="13" t="n"/>
      <c r="J108" s="11" t="n"/>
      <c r="K108" s="11" t="n"/>
      <c r="L108" s="14">
        <f>IFERROR(J108+K108,J108)</f>
        <v/>
      </c>
      <c r="M108" s="15">
        <f>IFERROR(IF(C108="CP",INT(G108*365),INT(G108*365)),"")</f>
        <v/>
      </c>
      <c r="N108" s="16">
        <f>IFERROR(L108*H108/100,"")</f>
        <v/>
      </c>
    </row>
    <row r="109" ht="18" customHeight="1">
      <c r="B109" s="8" t="n"/>
      <c r="C109" s="9" t="n"/>
      <c r="D109" s="9" t="n"/>
      <c r="E109" s="10" t="n"/>
      <c r="F109" s="9" t="n"/>
      <c r="G109" s="11" t="n"/>
      <c r="H109" s="12" t="n"/>
      <c r="I109" s="13" t="n"/>
      <c r="J109" s="11" t="n"/>
      <c r="K109" s="11" t="n"/>
      <c r="L109" s="14">
        <f>IFERROR(J109+K109,J109)</f>
        <v/>
      </c>
      <c r="M109" s="15">
        <f>IFERROR(IF(C109="CP",INT(G109*365),INT(G109*365)),"")</f>
        <v/>
      </c>
      <c r="N109" s="16">
        <f>IFERROR(L109*H109/100,"")</f>
        <v/>
      </c>
    </row>
    <row r="110" ht="18" customHeight="1">
      <c r="B110" s="8" t="n"/>
      <c r="C110" s="9" t="n"/>
      <c r="D110" s="9" t="n"/>
      <c r="E110" s="10" t="n"/>
      <c r="F110" s="9" t="n"/>
      <c r="G110" s="11" t="n"/>
      <c r="H110" s="12" t="n"/>
      <c r="I110" s="13" t="n"/>
      <c r="J110" s="11" t="n"/>
      <c r="K110" s="11" t="n"/>
      <c r="L110" s="14">
        <f>IFERROR(J110+K110,J110)</f>
        <v/>
      </c>
      <c r="M110" s="15">
        <f>IFERROR(IF(C110="CP",INT(G110*365),INT(G110*365)),"")</f>
        <v/>
      </c>
      <c r="N110" s="16">
        <f>IFERROR(L110*H110/100,"")</f>
        <v/>
      </c>
    </row>
    <row r="111" ht="18" customHeight="1">
      <c r="B111" s="8" t="n"/>
      <c r="C111" s="9" t="n"/>
      <c r="D111" s="9" t="n"/>
      <c r="E111" s="10" t="n"/>
      <c r="F111" s="9" t="n"/>
      <c r="G111" s="11" t="n"/>
      <c r="H111" s="12" t="n"/>
      <c r="I111" s="13" t="n"/>
      <c r="J111" s="11" t="n"/>
      <c r="K111" s="11" t="n"/>
      <c r="L111" s="14">
        <f>IFERROR(J111+K111,J111)</f>
        <v/>
      </c>
      <c r="M111" s="15">
        <f>IFERROR(IF(C111="CP",INT(G111*365),INT(G111*365)),"")</f>
        <v/>
      </c>
      <c r="N111" s="16">
        <f>IFERROR(L111*H111/100,"")</f>
        <v/>
      </c>
    </row>
    <row r="112" ht="18" customHeight="1">
      <c r="B112" s="8" t="n"/>
      <c r="C112" s="9" t="n"/>
      <c r="D112" s="9" t="n"/>
      <c r="E112" s="10" t="n"/>
      <c r="F112" s="9" t="n"/>
      <c r="G112" s="11" t="n"/>
      <c r="H112" s="12" t="n"/>
      <c r="I112" s="13" t="n"/>
      <c r="J112" s="11" t="n"/>
      <c r="K112" s="11" t="n"/>
      <c r="L112" s="14">
        <f>IFERROR(J112+K112,J112)</f>
        <v/>
      </c>
      <c r="M112" s="15">
        <f>IFERROR(IF(C112="CP",INT(G112*365),INT(G112*365)),"")</f>
        <v/>
      </c>
      <c r="N112" s="16">
        <f>IFERROR(L112*H112/100,"")</f>
        <v/>
      </c>
    </row>
    <row r="113" ht="18" customHeight="1">
      <c r="B113" s="8" t="n"/>
      <c r="C113" s="9" t="n"/>
      <c r="D113" s="9" t="n"/>
      <c r="E113" s="10" t="n"/>
      <c r="F113" s="9" t="n"/>
      <c r="G113" s="11" t="n"/>
      <c r="H113" s="12" t="n"/>
      <c r="I113" s="13" t="n"/>
      <c r="J113" s="11" t="n"/>
      <c r="K113" s="11" t="n"/>
      <c r="L113" s="14">
        <f>IFERROR(J113+K113,J113)</f>
        <v/>
      </c>
      <c r="M113" s="15">
        <f>IFERROR(IF(C113="CP",INT(G113*365),INT(G113*365)),"")</f>
        <v/>
      </c>
      <c r="N113" s="16">
        <f>IFERROR(L113*H113/100,"")</f>
        <v/>
      </c>
    </row>
    <row r="114" ht="18" customHeight="1">
      <c r="B114" s="8" t="n"/>
      <c r="C114" s="9" t="n"/>
      <c r="D114" s="9" t="n"/>
      <c r="E114" s="10" t="n"/>
      <c r="F114" s="9" t="n"/>
      <c r="G114" s="11" t="n"/>
      <c r="H114" s="12" t="n"/>
      <c r="I114" s="13" t="n"/>
      <c r="J114" s="11" t="n"/>
      <c r="K114" s="11" t="n"/>
      <c r="L114" s="14">
        <f>IFERROR(J114+K114,J114)</f>
        <v/>
      </c>
      <c r="M114" s="15">
        <f>IFERROR(IF(C114="CP",INT(G114*365),INT(G114*365)),"")</f>
        <v/>
      </c>
      <c r="N114" s="16">
        <f>IFERROR(L114*H114/100,"")</f>
        <v/>
      </c>
    </row>
    <row r="115" ht="18" customHeight="1">
      <c r="B115" s="8" t="n"/>
      <c r="C115" s="9" t="n"/>
      <c r="D115" s="9" t="n"/>
      <c r="E115" s="10" t="n"/>
      <c r="F115" s="9" t="n"/>
      <c r="G115" s="11" t="n"/>
      <c r="H115" s="12" t="n"/>
      <c r="I115" s="13" t="n"/>
      <c r="J115" s="11" t="n"/>
      <c r="K115" s="11" t="n"/>
      <c r="L115" s="14">
        <f>IFERROR(J115+K115,J115)</f>
        <v/>
      </c>
      <c r="M115" s="15">
        <f>IFERROR(IF(C115="CP",INT(G115*365),INT(G115*365)),"")</f>
        <v/>
      </c>
      <c r="N115" s="16">
        <f>IFERROR(L115*H115/100,"")</f>
        <v/>
      </c>
    </row>
    <row r="116" ht="18" customHeight="1">
      <c r="B116" s="8" t="n"/>
      <c r="C116" s="9" t="n"/>
      <c r="D116" s="9" t="n"/>
      <c r="E116" s="10" t="n"/>
      <c r="F116" s="9" t="n"/>
      <c r="G116" s="11" t="n"/>
      <c r="H116" s="12" t="n"/>
      <c r="I116" s="13" t="n"/>
      <c r="J116" s="11" t="n"/>
      <c r="K116" s="11" t="n"/>
      <c r="L116" s="14">
        <f>IFERROR(J116+K116,J116)</f>
        <v/>
      </c>
      <c r="M116" s="15">
        <f>IFERROR(IF(C116="CP",INT(G116*365),INT(G116*365)),"")</f>
        <v/>
      </c>
      <c r="N116" s="16">
        <f>IFERROR(L116*H116/100,"")</f>
        <v/>
      </c>
    </row>
    <row r="117" ht="18" customHeight="1">
      <c r="B117" s="8" t="n"/>
      <c r="C117" s="9" t="n"/>
      <c r="D117" s="9" t="n"/>
      <c r="E117" s="10" t="n"/>
      <c r="F117" s="9" t="n"/>
      <c r="G117" s="11" t="n"/>
      <c r="H117" s="12" t="n"/>
      <c r="I117" s="13" t="n"/>
      <c r="J117" s="11" t="n"/>
      <c r="K117" s="11" t="n"/>
      <c r="L117" s="14">
        <f>IFERROR(J117+K117,J117)</f>
        <v/>
      </c>
      <c r="M117" s="15">
        <f>IFERROR(IF(C117="CP",INT(G117*365),INT(G117*365)),"")</f>
        <v/>
      </c>
      <c r="N117" s="16">
        <f>IFERROR(L117*H117/100,"")</f>
        <v/>
      </c>
    </row>
    <row r="118" ht="18" customHeight="1">
      <c r="B118" s="8" t="n"/>
      <c r="C118" s="9" t="n"/>
      <c r="D118" s="9" t="n"/>
      <c r="E118" s="10" t="n"/>
      <c r="F118" s="9" t="n"/>
      <c r="G118" s="11" t="n"/>
      <c r="H118" s="12" t="n"/>
      <c r="I118" s="13" t="n"/>
      <c r="J118" s="11" t="n"/>
      <c r="K118" s="11" t="n"/>
      <c r="L118" s="14">
        <f>IFERROR(J118+K118,J118)</f>
        <v/>
      </c>
      <c r="M118" s="15">
        <f>IFERROR(IF(C118="CP",INT(G118*365),INT(G118*365)),"")</f>
        <v/>
      </c>
      <c r="N118" s="16">
        <f>IFERROR(L118*H118/100,"")</f>
        <v/>
      </c>
    </row>
    <row r="119" ht="18" customHeight="1">
      <c r="B119" s="8" t="n"/>
      <c r="C119" s="9" t="n"/>
      <c r="D119" s="9" t="n"/>
      <c r="E119" s="10" t="n"/>
      <c r="F119" s="9" t="n"/>
      <c r="G119" s="11" t="n"/>
      <c r="H119" s="12" t="n"/>
      <c r="I119" s="13" t="n"/>
      <c r="J119" s="11" t="n"/>
      <c r="K119" s="11" t="n"/>
      <c r="L119" s="14">
        <f>IFERROR(J119+K119,J119)</f>
        <v/>
      </c>
      <c r="M119" s="15">
        <f>IFERROR(IF(C119="CP",INT(G119*365),INT(G119*365)),"")</f>
        <v/>
      </c>
      <c r="N119" s="16">
        <f>IFERROR(L119*H119/100,"")</f>
        <v/>
      </c>
    </row>
    <row r="120" ht="18" customHeight="1">
      <c r="B120" s="8" t="n"/>
      <c r="C120" s="9" t="n"/>
      <c r="D120" s="9" t="n"/>
      <c r="E120" s="10" t="n"/>
      <c r="F120" s="9" t="n"/>
      <c r="G120" s="11" t="n"/>
      <c r="H120" s="12" t="n"/>
      <c r="I120" s="13" t="n"/>
      <c r="J120" s="11" t="n"/>
      <c r="K120" s="11" t="n"/>
      <c r="L120" s="14">
        <f>IFERROR(J120+K120,J120)</f>
        <v/>
      </c>
      <c r="M120" s="15">
        <f>IFERROR(IF(C120="CP",INT(G120*365),INT(G120*365)),"")</f>
        <v/>
      </c>
      <c r="N120" s="16">
        <f>IFERROR(L120*H120/100,"")</f>
        <v/>
      </c>
    </row>
    <row r="121" ht="18" customHeight="1">
      <c r="B121" s="8" t="n"/>
      <c r="C121" s="9" t="n"/>
      <c r="D121" s="9" t="n"/>
      <c r="E121" s="10" t="n"/>
      <c r="F121" s="9" t="n"/>
      <c r="G121" s="11" t="n"/>
      <c r="H121" s="12" t="n"/>
      <c r="I121" s="13" t="n"/>
      <c r="J121" s="11" t="n"/>
      <c r="K121" s="11" t="n"/>
      <c r="L121" s="14">
        <f>IFERROR(J121+K121,J121)</f>
        <v/>
      </c>
      <c r="M121" s="15">
        <f>IFERROR(IF(C121="CP",INT(G121*365),INT(G121*365)),"")</f>
        <v/>
      </c>
      <c r="N121" s="16">
        <f>IFERROR(L121*H121/100,"")</f>
        <v/>
      </c>
    </row>
    <row r="122" ht="18" customHeight="1">
      <c r="B122" s="8" t="n"/>
      <c r="C122" s="9" t="n"/>
      <c r="D122" s="9" t="n"/>
      <c r="E122" s="10" t="n"/>
      <c r="F122" s="9" t="n"/>
      <c r="G122" s="11" t="n"/>
      <c r="H122" s="12" t="n"/>
      <c r="I122" s="13" t="n"/>
      <c r="J122" s="11" t="n"/>
      <c r="K122" s="11" t="n"/>
      <c r="L122" s="14">
        <f>IFERROR(J122+K122,J122)</f>
        <v/>
      </c>
      <c r="M122" s="15">
        <f>IFERROR(IF(C122="CP",INT(G122*365),INT(G122*365)),"")</f>
        <v/>
      </c>
      <c r="N122" s="16">
        <f>IFERROR(L122*H122/100,"")</f>
        <v/>
      </c>
    </row>
    <row r="123" ht="18" customHeight="1">
      <c r="B123" s="8" t="n"/>
      <c r="C123" s="9" t="n"/>
      <c r="D123" s="9" t="n"/>
      <c r="E123" s="10" t="n"/>
      <c r="F123" s="9" t="n"/>
      <c r="G123" s="11" t="n"/>
      <c r="H123" s="12" t="n"/>
      <c r="I123" s="13" t="n"/>
      <c r="J123" s="11" t="n"/>
      <c r="K123" s="11" t="n"/>
      <c r="L123" s="14">
        <f>IFERROR(J123+K123,J123)</f>
        <v/>
      </c>
      <c r="M123" s="15">
        <f>IFERROR(IF(C123="CP",INT(G123*365),INT(G123*365)),"")</f>
        <v/>
      </c>
      <c r="N123" s="16">
        <f>IFERROR(L123*H123/100,"")</f>
        <v/>
      </c>
    </row>
    <row r="124" ht="18" customHeight="1">
      <c r="B124" s="8" t="n"/>
      <c r="C124" s="9" t="n"/>
      <c r="D124" s="9" t="n"/>
      <c r="E124" s="10" t="n"/>
      <c r="F124" s="9" t="n"/>
      <c r="G124" s="11" t="n"/>
      <c r="H124" s="12" t="n"/>
      <c r="I124" s="13" t="n"/>
      <c r="J124" s="11" t="n"/>
      <c r="K124" s="11" t="n"/>
      <c r="L124" s="14">
        <f>IFERROR(J124+K124,J124)</f>
        <v/>
      </c>
      <c r="M124" s="15">
        <f>IFERROR(IF(C124="CP",INT(G124*365),INT(G124*365)),"")</f>
        <v/>
      </c>
      <c r="N124" s="16">
        <f>IFERROR(L124*H124/100,"")</f>
        <v/>
      </c>
    </row>
    <row r="125" ht="18" customHeight="1">
      <c r="B125" s="8" t="n"/>
      <c r="C125" s="9" t="n"/>
      <c r="D125" s="9" t="n"/>
      <c r="E125" s="10" t="n"/>
      <c r="F125" s="9" t="n"/>
      <c r="G125" s="11" t="n"/>
      <c r="H125" s="12" t="n"/>
      <c r="I125" s="13" t="n"/>
      <c r="J125" s="11" t="n"/>
      <c r="K125" s="11" t="n"/>
      <c r="L125" s="14">
        <f>IFERROR(J125+K125,J125)</f>
        <v/>
      </c>
      <c r="M125" s="15">
        <f>IFERROR(IF(C125="CP",INT(G125*365),INT(G125*365)),"")</f>
        <v/>
      </c>
      <c r="N125" s="16">
        <f>IFERROR(L125*H125/100,"")</f>
        <v/>
      </c>
    </row>
    <row r="126" ht="18" customHeight="1">
      <c r="B126" s="8" t="n"/>
      <c r="C126" s="9" t="n"/>
      <c r="D126" s="9" t="n"/>
      <c r="E126" s="10" t="n"/>
      <c r="F126" s="9" t="n"/>
      <c r="G126" s="11" t="n"/>
      <c r="H126" s="12" t="n"/>
      <c r="I126" s="13" t="n"/>
      <c r="J126" s="11" t="n"/>
      <c r="K126" s="11" t="n"/>
      <c r="L126" s="14">
        <f>IFERROR(J126+K126,J126)</f>
        <v/>
      </c>
      <c r="M126" s="15">
        <f>IFERROR(IF(C126="CP",INT(G126*365),INT(G126*365)),"")</f>
        <v/>
      </c>
      <c r="N126" s="16">
        <f>IFERROR(L126*H126/100,"")</f>
        <v/>
      </c>
    </row>
    <row r="127" ht="18" customHeight="1">
      <c r="B127" s="8" t="n"/>
      <c r="C127" s="9" t="n"/>
      <c r="D127" s="9" t="n"/>
      <c r="E127" s="10" t="n"/>
      <c r="F127" s="9" t="n"/>
      <c r="G127" s="11" t="n"/>
      <c r="H127" s="12" t="n"/>
      <c r="I127" s="13" t="n"/>
      <c r="J127" s="11" t="n"/>
      <c r="K127" s="11" t="n"/>
      <c r="L127" s="14">
        <f>IFERROR(J127+K127,J127)</f>
        <v/>
      </c>
      <c r="M127" s="15">
        <f>IFERROR(IF(C127="CP",INT(G127*365),INT(G127*365)),"")</f>
        <v/>
      </c>
      <c r="N127" s="16">
        <f>IFERROR(L127*H127/100,"")</f>
        <v/>
      </c>
    </row>
    <row r="128" ht="18" customHeight="1">
      <c r="B128" s="8" t="n"/>
      <c r="C128" s="9" t="n"/>
      <c r="D128" s="9" t="n"/>
      <c r="E128" s="10" t="n"/>
      <c r="F128" s="9" t="n"/>
      <c r="G128" s="11" t="n"/>
      <c r="H128" s="12" t="n"/>
      <c r="I128" s="13" t="n"/>
      <c r="J128" s="11" t="n"/>
      <c r="K128" s="11" t="n"/>
      <c r="L128" s="14">
        <f>IFERROR(J128+K128,J128)</f>
        <v/>
      </c>
      <c r="M128" s="15">
        <f>IFERROR(IF(C128="CP",INT(G128*365),INT(G128*365)),"")</f>
        <v/>
      </c>
      <c r="N128" s="16">
        <f>IFERROR(L128*H128/100,"")</f>
        <v/>
      </c>
    </row>
    <row r="129" ht="18" customHeight="1">
      <c r="B129" s="8" t="n"/>
      <c r="C129" s="9" t="n"/>
      <c r="D129" s="9" t="n"/>
      <c r="E129" s="10" t="n"/>
      <c r="F129" s="9" t="n"/>
      <c r="G129" s="11" t="n"/>
      <c r="H129" s="12" t="n"/>
      <c r="I129" s="13" t="n"/>
      <c r="J129" s="11" t="n"/>
      <c r="K129" s="11" t="n"/>
      <c r="L129" s="14">
        <f>IFERROR(J129+K129,J129)</f>
        <v/>
      </c>
      <c r="M129" s="15">
        <f>IFERROR(IF(C129="CP",INT(G129*365),INT(G129*365)),"")</f>
        <v/>
      </c>
      <c r="N129" s="16">
        <f>IFERROR(L129*H129/100,"")</f>
        <v/>
      </c>
    </row>
    <row r="130" ht="18" customHeight="1">
      <c r="B130" s="8" t="n"/>
      <c r="C130" s="9" t="n"/>
      <c r="D130" s="9" t="n"/>
      <c r="E130" s="10" t="n"/>
      <c r="F130" s="9" t="n"/>
      <c r="G130" s="11" t="n"/>
      <c r="H130" s="12" t="n"/>
      <c r="I130" s="13" t="n"/>
      <c r="J130" s="11" t="n"/>
      <c r="K130" s="11" t="n"/>
      <c r="L130" s="14">
        <f>IFERROR(J130+K130,J130)</f>
        <v/>
      </c>
      <c r="M130" s="15">
        <f>IFERROR(IF(C130="CP",INT(G130*365),INT(G130*365)),"")</f>
        <v/>
      </c>
      <c r="N130" s="16">
        <f>IFERROR(L130*H130/100,"")</f>
        <v/>
      </c>
    </row>
    <row r="131" ht="18" customHeight="1">
      <c r="B131" s="8" t="n"/>
      <c r="C131" s="9" t="n"/>
      <c r="D131" s="9" t="n"/>
      <c r="E131" s="10" t="n"/>
      <c r="F131" s="9" t="n"/>
      <c r="G131" s="11" t="n"/>
      <c r="H131" s="12" t="n"/>
      <c r="I131" s="13" t="n"/>
      <c r="J131" s="11" t="n"/>
      <c r="K131" s="11" t="n"/>
      <c r="L131" s="14">
        <f>IFERROR(J131+K131,J131)</f>
        <v/>
      </c>
      <c r="M131" s="15">
        <f>IFERROR(IF(C131="CP",INT(G131*365),INT(G131*365)),"")</f>
        <v/>
      </c>
      <c r="N131" s="16">
        <f>IFERROR(L131*H131/100,"")</f>
        <v/>
      </c>
    </row>
    <row r="132" ht="18" customHeight="1">
      <c r="B132" s="8" t="n"/>
      <c r="C132" s="9" t="n"/>
      <c r="D132" s="9" t="n"/>
      <c r="E132" s="10" t="n"/>
      <c r="F132" s="9" t="n"/>
      <c r="G132" s="11" t="n"/>
      <c r="H132" s="12" t="n"/>
      <c r="I132" s="13" t="n"/>
      <c r="J132" s="11" t="n"/>
      <c r="K132" s="11" t="n"/>
      <c r="L132" s="14">
        <f>IFERROR(J132+K132,J132)</f>
        <v/>
      </c>
      <c r="M132" s="15">
        <f>IFERROR(IF(C132="CP",INT(G132*365),INT(G132*365)),"")</f>
        <v/>
      </c>
      <c r="N132" s="16">
        <f>IFERROR(L132*H132/100,"")</f>
        <v/>
      </c>
    </row>
    <row r="133" ht="18" customHeight="1">
      <c r="B133" s="8" t="n"/>
      <c r="C133" s="9" t="n"/>
      <c r="D133" s="9" t="n"/>
      <c r="E133" s="10" t="n"/>
      <c r="F133" s="9" t="n"/>
      <c r="G133" s="11" t="n"/>
      <c r="H133" s="12" t="n"/>
      <c r="I133" s="13" t="n"/>
      <c r="J133" s="11" t="n"/>
      <c r="K133" s="11" t="n"/>
      <c r="L133" s="14">
        <f>IFERROR(J133+K133,J133)</f>
        <v/>
      </c>
      <c r="M133" s="15">
        <f>IFERROR(IF(C133="CP",INT(G133*365),INT(G133*365)),"")</f>
        <v/>
      </c>
      <c r="N133" s="16">
        <f>IFERROR(L133*H133/100,"")</f>
        <v/>
      </c>
    </row>
    <row r="134" ht="18" customHeight="1">
      <c r="B134" s="8" t="n"/>
      <c r="C134" s="9" t="n"/>
      <c r="D134" s="9" t="n"/>
      <c r="E134" s="10" t="n"/>
      <c r="F134" s="9" t="n"/>
      <c r="G134" s="11" t="n"/>
      <c r="H134" s="12" t="n"/>
      <c r="I134" s="13" t="n"/>
      <c r="J134" s="11" t="n"/>
      <c r="K134" s="11" t="n"/>
      <c r="L134" s="14">
        <f>IFERROR(J134+K134,J134)</f>
        <v/>
      </c>
      <c r="M134" s="15">
        <f>IFERROR(IF(C134="CP",INT(G134*365),INT(G134*365)),"")</f>
        <v/>
      </c>
      <c r="N134" s="16">
        <f>IFERROR(L134*H134/100,"")</f>
        <v/>
      </c>
    </row>
    <row r="135" ht="18" customHeight="1">
      <c r="B135" s="8" t="n"/>
      <c r="C135" s="9" t="n"/>
      <c r="D135" s="9" t="n"/>
      <c r="E135" s="10" t="n"/>
      <c r="F135" s="9" t="n"/>
      <c r="G135" s="11" t="n"/>
      <c r="H135" s="12" t="n"/>
      <c r="I135" s="13" t="n"/>
      <c r="J135" s="11" t="n"/>
      <c r="K135" s="11" t="n"/>
      <c r="L135" s="14">
        <f>IFERROR(J135+K135,J135)</f>
        <v/>
      </c>
      <c r="M135" s="15">
        <f>IFERROR(IF(C135="CP",INT(G135*365),INT(G135*365)),"")</f>
        <v/>
      </c>
      <c r="N135" s="16">
        <f>IFERROR(L135*H135/100,"")</f>
        <v/>
      </c>
    </row>
    <row r="136" ht="18" customHeight="1">
      <c r="B136" s="8" t="n"/>
      <c r="C136" s="9" t="n"/>
      <c r="D136" s="9" t="n"/>
      <c r="E136" s="10" t="n"/>
      <c r="F136" s="9" t="n"/>
      <c r="G136" s="11" t="n"/>
      <c r="H136" s="12" t="n"/>
      <c r="I136" s="13" t="n"/>
      <c r="J136" s="11" t="n"/>
      <c r="K136" s="11" t="n"/>
      <c r="L136" s="14">
        <f>IFERROR(J136+K136,J136)</f>
        <v/>
      </c>
      <c r="M136" s="15">
        <f>IFERROR(IF(C136="CP",INT(G136*365),INT(G136*365)),"")</f>
        <v/>
      </c>
      <c r="N136" s="16">
        <f>IFERROR(L136*H136/100,"")</f>
        <v/>
      </c>
    </row>
    <row r="137" ht="18" customHeight="1">
      <c r="B137" s="8" t="n"/>
      <c r="C137" s="9" t="n"/>
      <c r="D137" s="9" t="n"/>
      <c r="E137" s="10" t="n"/>
      <c r="F137" s="9" t="n"/>
      <c r="G137" s="11" t="n"/>
      <c r="H137" s="12" t="n"/>
      <c r="I137" s="13" t="n"/>
      <c r="J137" s="11" t="n"/>
      <c r="K137" s="11" t="n"/>
      <c r="L137" s="14">
        <f>IFERROR(J137+K137,J137)</f>
        <v/>
      </c>
      <c r="M137" s="15">
        <f>IFERROR(IF(C137="CP",INT(G137*365),INT(G137*365)),"")</f>
        <v/>
      </c>
      <c r="N137" s="16">
        <f>IFERROR(L137*H137/100,"")</f>
        <v/>
      </c>
    </row>
    <row r="138" ht="18" customHeight="1">
      <c r="B138" s="8" t="n"/>
      <c r="C138" s="9" t="n"/>
      <c r="D138" s="9" t="n"/>
      <c r="E138" s="10" t="n"/>
      <c r="F138" s="9" t="n"/>
      <c r="G138" s="11" t="n"/>
      <c r="H138" s="12" t="n"/>
      <c r="I138" s="13" t="n"/>
      <c r="J138" s="11" t="n"/>
      <c r="K138" s="11" t="n"/>
      <c r="L138" s="14">
        <f>IFERROR(J138+K138,J138)</f>
        <v/>
      </c>
      <c r="M138" s="15">
        <f>IFERROR(IF(C138="CP",INT(G138*365),INT(G138*365)),"")</f>
        <v/>
      </c>
      <c r="N138" s="16">
        <f>IFERROR(L138*H138/100,"")</f>
        <v/>
      </c>
    </row>
    <row r="139" ht="18" customHeight="1">
      <c r="B139" s="8" t="n"/>
      <c r="C139" s="9" t="n"/>
      <c r="D139" s="9" t="n"/>
      <c r="E139" s="10" t="n"/>
      <c r="F139" s="9" t="n"/>
      <c r="G139" s="11" t="n"/>
      <c r="H139" s="12" t="n"/>
      <c r="I139" s="13" t="n"/>
      <c r="J139" s="11" t="n"/>
      <c r="K139" s="11" t="n"/>
      <c r="L139" s="14">
        <f>IFERROR(J139+K139,J139)</f>
        <v/>
      </c>
      <c r="M139" s="15">
        <f>IFERROR(IF(C139="CP",INT(G139*365),INT(G139*365)),"")</f>
        <v/>
      </c>
      <c r="N139" s="16">
        <f>IFERROR(L139*H139/100,"")</f>
        <v/>
      </c>
    </row>
    <row r="140" ht="18" customHeight="1">
      <c r="B140" s="8" t="n"/>
      <c r="C140" s="9" t="n"/>
      <c r="D140" s="9" t="n"/>
      <c r="E140" s="10" t="n"/>
      <c r="F140" s="9" t="n"/>
      <c r="G140" s="11" t="n"/>
      <c r="H140" s="12" t="n"/>
      <c r="I140" s="13" t="n"/>
      <c r="J140" s="11" t="n"/>
      <c r="K140" s="11" t="n"/>
      <c r="L140" s="14">
        <f>IFERROR(J140+K140,J140)</f>
        <v/>
      </c>
      <c r="M140" s="15">
        <f>IFERROR(IF(C140="CP",INT(G140*365),INT(G140*365)),"")</f>
        <v/>
      </c>
      <c r="N140" s="16">
        <f>IFERROR(L140*H140/100,"")</f>
        <v/>
      </c>
    </row>
    <row r="141" ht="18" customHeight="1">
      <c r="B141" s="8" t="n"/>
      <c r="C141" s="9" t="n"/>
      <c r="D141" s="9" t="n"/>
      <c r="E141" s="10" t="n"/>
      <c r="F141" s="9" t="n"/>
      <c r="G141" s="11" t="n"/>
      <c r="H141" s="12" t="n"/>
      <c r="I141" s="13" t="n"/>
      <c r="J141" s="11" t="n"/>
      <c r="K141" s="11" t="n"/>
      <c r="L141" s="14">
        <f>IFERROR(J141+K141,J141)</f>
        <v/>
      </c>
      <c r="M141" s="15">
        <f>IFERROR(IF(C141="CP",INT(G141*365),INT(G141*365)),"")</f>
        <v/>
      </c>
      <c r="N141" s="16">
        <f>IFERROR(L141*H141/100,"")</f>
        <v/>
      </c>
    </row>
    <row r="142" ht="18" customHeight="1">
      <c r="B142" s="8" t="n"/>
      <c r="C142" s="9" t="n"/>
      <c r="D142" s="9" t="n"/>
      <c r="E142" s="10" t="n"/>
      <c r="F142" s="9" t="n"/>
      <c r="G142" s="11" t="n"/>
      <c r="H142" s="12" t="n"/>
      <c r="I142" s="13" t="n"/>
      <c r="J142" s="11" t="n"/>
      <c r="K142" s="11" t="n"/>
      <c r="L142" s="14">
        <f>IFERROR(J142+K142,J142)</f>
        <v/>
      </c>
      <c r="M142" s="15">
        <f>IFERROR(IF(C142="CP",INT(G142*365),INT(G142*365)),"")</f>
        <v/>
      </c>
      <c r="N142" s="16">
        <f>IFERROR(L142*H142/100,"")</f>
        <v/>
      </c>
    </row>
    <row r="143" ht="18" customHeight="1">
      <c r="B143" s="8" t="n"/>
      <c r="C143" s="9" t="n"/>
      <c r="D143" s="9" t="n"/>
      <c r="E143" s="10" t="n"/>
      <c r="F143" s="9" t="n"/>
      <c r="G143" s="11" t="n"/>
      <c r="H143" s="12" t="n"/>
      <c r="I143" s="13" t="n"/>
      <c r="J143" s="11" t="n"/>
      <c r="K143" s="11" t="n"/>
      <c r="L143" s="14">
        <f>IFERROR(J143+K143,J143)</f>
        <v/>
      </c>
      <c r="M143" s="15">
        <f>IFERROR(IF(C143="CP",INT(G143*365),INT(G143*365)),"")</f>
        <v/>
      </c>
      <c r="N143" s="16">
        <f>IFERROR(L143*H143/100,"")</f>
        <v/>
      </c>
    </row>
    <row r="144" ht="18" customHeight="1">
      <c r="B144" s="8" t="n"/>
      <c r="C144" s="9" t="n"/>
      <c r="D144" s="9" t="n"/>
      <c r="E144" s="10" t="n"/>
      <c r="F144" s="9" t="n"/>
      <c r="G144" s="11" t="n"/>
      <c r="H144" s="12" t="n"/>
      <c r="I144" s="13" t="n"/>
      <c r="J144" s="11" t="n"/>
      <c r="K144" s="11" t="n"/>
      <c r="L144" s="14">
        <f>IFERROR(J144+K144,J144)</f>
        <v/>
      </c>
      <c r="M144" s="15">
        <f>IFERROR(IF(C144="CP",INT(G144*365),INT(G144*365)),"")</f>
        <v/>
      </c>
      <c r="N144" s="16">
        <f>IFERROR(L144*H144/100,"")</f>
        <v/>
      </c>
    </row>
    <row r="145" ht="18" customHeight="1">
      <c r="B145" s="8" t="n"/>
      <c r="C145" s="9" t="n"/>
      <c r="D145" s="9" t="n"/>
      <c r="E145" s="10" t="n"/>
      <c r="F145" s="9" t="n"/>
      <c r="G145" s="11" t="n"/>
      <c r="H145" s="12" t="n"/>
      <c r="I145" s="13" t="n"/>
      <c r="J145" s="11" t="n"/>
      <c r="K145" s="11" t="n"/>
      <c r="L145" s="14">
        <f>IFERROR(J145+K145,J145)</f>
        <v/>
      </c>
      <c r="M145" s="15">
        <f>IFERROR(IF(C145="CP",INT(G145*365),INT(G145*365)),"")</f>
        <v/>
      </c>
      <c r="N145" s="16">
        <f>IFERROR(L145*H145/100,"")</f>
        <v/>
      </c>
    </row>
    <row r="146" ht="18" customHeight="1">
      <c r="B146" s="8" t="n"/>
      <c r="C146" s="9" t="n"/>
      <c r="D146" s="9" t="n"/>
      <c r="E146" s="10" t="n"/>
      <c r="F146" s="9" t="n"/>
      <c r="G146" s="11" t="n"/>
      <c r="H146" s="12" t="n"/>
      <c r="I146" s="13" t="n"/>
      <c r="J146" s="11" t="n"/>
      <c r="K146" s="11" t="n"/>
      <c r="L146" s="14">
        <f>IFERROR(J146+K146,J146)</f>
        <v/>
      </c>
      <c r="M146" s="15">
        <f>IFERROR(IF(C146="CP",INT(G146*365),INT(G146*365)),"")</f>
        <v/>
      </c>
      <c r="N146" s="16">
        <f>IFERROR(L146*H146/100,"")</f>
        <v/>
      </c>
    </row>
    <row r="147" ht="18" customHeight="1">
      <c r="B147" s="8" t="n"/>
      <c r="C147" s="9" t="n"/>
      <c r="D147" s="9" t="n"/>
      <c r="E147" s="10" t="n"/>
      <c r="F147" s="9" t="n"/>
      <c r="G147" s="11" t="n"/>
      <c r="H147" s="12" t="n"/>
      <c r="I147" s="13" t="n"/>
      <c r="J147" s="11" t="n"/>
      <c r="K147" s="11" t="n"/>
      <c r="L147" s="14">
        <f>IFERROR(J147+K147,J147)</f>
        <v/>
      </c>
      <c r="M147" s="15">
        <f>IFERROR(IF(C147="CP",INT(G147*365),INT(G147*365)),"")</f>
        <v/>
      </c>
      <c r="N147" s="16">
        <f>IFERROR(L147*H147/100,"")</f>
        <v/>
      </c>
    </row>
    <row r="148" ht="18" customHeight="1">
      <c r="B148" s="8" t="n"/>
      <c r="C148" s="9" t="n"/>
      <c r="D148" s="9" t="n"/>
      <c r="E148" s="10" t="n"/>
      <c r="F148" s="9" t="n"/>
      <c r="G148" s="11" t="n"/>
      <c r="H148" s="12" t="n"/>
      <c r="I148" s="13" t="n"/>
      <c r="J148" s="11" t="n"/>
      <c r="K148" s="11" t="n"/>
      <c r="L148" s="14">
        <f>IFERROR(J148+K148,J148)</f>
        <v/>
      </c>
      <c r="M148" s="15">
        <f>IFERROR(IF(C148="CP",INT(G148*365),INT(G148*365)),"")</f>
        <v/>
      </c>
      <c r="N148" s="16">
        <f>IFERROR(L148*H148/100,"")</f>
        <v/>
      </c>
    </row>
    <row r="149" ht="18" customHeight="1">
      <c r="B149" s="8" t="n"/>
      <c r="C149" s="9" t="n"/>
      <c r="D149" s="9" t="n"/>
      <c r="E149" s="10" t="n"/>
      <c r="F149" s="9" t="n"/>
      <c r="G149" s="11" t="n"/>
      <c r="H149" s="12" t="n"/>
      <c r="I149" s="13" t="n"/>
      <c r="J149" s="11" t="n"/>
      <c r="K149" s="11" t="n"/>
      <c r="L149" s="14">
        <f>IFERROR(J149+K149,J149)</f>
        <v/>
      </c>
      <c r="M149" s="15">
        <f>IFERROR(IF(C149="CP",INT(G149*365),INT(G149*365)),"")</f>
        <v/>
      </c>
      <c r="N149" s="16">
        <f>IFERROR(L149*H149/100,"")</f>
        <v/>
      </c>
    </row>
    <row r="150" ht="18" customHeight="1">
      <c r="B150" s="8" t="n"/>
      <c r="C150" s="9" t="n"/>
      <c r="D150" s="9" t="n"/>
      <c r="E150" s="10" t="n"/>
      <c r="F150" s="9" t="n"/>
      <c r="G150" s="11" t="n"/>
      <c r="H150" s="12" t="n"/>
      <c r="I150" s="13" t="n"/>
      <c r="J150" s="11" t="n"/>
      <c r="K150" s="11" t="n"/>
      <c r="L150" s="14">
        <f>IFERROR(J150+K150,J150)</f>
        <v/>
      </c>
      <c r="M150" s="15">
        <f>IFERROR(IF(C150="CP",INT(G150*365),INT(G150*365)),"")</f>
        <v/>
      </c>
      <c r="N150" s="16">
        <f>IFERROR(L150*H150/100,"")</f>
        <v/>
      </c>
    </row>
    <row r="151" ht="18" customHeight="1">
      <c r="B151" s="8" t="n"/>
      <c r="C151" s="9" t="n"/>
      <c r="D151" s="9" t="n"/>
      <c r="E151" s="10" t="n"/>
      <c r="F151" s="9" t="n"/>
      <c r="G151" s="11" t="n"/>
      <c r="H151" s="12" t="n"/>
      <c r="I151" s="13" t="n"/>
      <c r="J151" s="11" t="n"/>
      <c r="K151" s="11" t="n"/>
      <c r="L151" s="14">
        <f>IFERROR(J151+K151,J151)</f>
        <v/>
      </c>
      <c r="M151" s="15">
        <f>IFERROR(IF(C151="CP",INT(G151*365),INT(G151*365)),"")</f>
        <v/>
      </c>
      <c r="N151" s="16">
        <f>IFERROR(L151*H151/100,"")</f>
        <v/>
      </c>
    </row>
    <row r="152" ht="18" customHeight="1">
      <c r="B152" s="8" t="n"/>
      <c r="C152" s="9" t="n"/>
      <c r="D152" s="9" t="n"/>
      <c r="E152" s="10" t="n"/>
      <c r="F152" s="9" t="n"/>
      <c r="G152" s="11" t="n"/>
      <c r="H152" s="12" t="n"/>
      <c r="I152" s="13" t="n"/>
      <c r="J152" s="11" t="n"/>
      <c r="K152" s="11" t="n"/>
      <c r="L152" s="14">
        <f>IFERROR(J152+K152,J152)</f>
        <v/>
      </c>
      <c r="M152" s="15">
        <f>IFERROR(IF(C152="CP",INT(G152*365),INT(G152*365)),"")</f>
        <v/>
      </c>
      <c r="N152" s="16">
        <f>IFERROR(L152*H152/100,"")</f>
        <v/>
      </c>
    </row>
    <row r="153" ht="18" customHeight="1">
      <c r="B153" s="8" t="n"/>
      <c r="C153" s="9" t="n"/>
      <c r="D153" s="9" t="n"/>
      <c r="E153" s="10" t="n"/>
      <c r="F153" s="9" t="n"/>
      <c r="G153" s="11" t="n"/>
      <c r="H153" s="12" t="n"/>
      <c r="I153" s="13" t="n"/>
      <c r="J153" s="11" t="n"/>
      <c r="K153" s="11" t="n"/>
      <c r="L153" s="14">
        <f>IFERROR(J153+K153,J153)</f>
        <v/>
      </c>
      <c r="M153" s="15">
        <f>IFERROR(IF(C153="CP",INT(G153*365),INT(G153*365)),"")</f>
        <v/>
      </c>
      <c r="N153" s="16">
        <f>IFERROR(L153*H153/100,"")</f>
        <v/>
      </c>
    </row>
    <row r="154" ht="18" customHeight="1">
      <c r="B154" s="8" t="n"/>
      <c r="C154" s="9" t="n"/>
      <c r="D154" s="9" t="n"/>
      <c r="E154" s="10" t="n"/>
      <c r="F154" s="9" t="n"/>
      <c r="G154" s="11" t="n"/>
      <c r="H154" s="12" t="n"/>
      <c r="I154" s="13" t="n"/>
      <c r="J154" s="11" t="n"/>
      <c r="K154" s="11" t="n"/>
      <c r="L154" s="14">
        <f>IFERROR(J154+K154,J154)</f>
        <v/>
      </c>
      <c r="M154" s="15">
        <f>IFERROR(IF(C154="CP",INT(G154*365),INT(G154*365)),"")</f>
        <v/>
      </c>
      <c r="N154" s="16">
        <f>IFERROR(L154*H154/100,"")</f>
        <v/>
      </c>
    </row>
    <row r="155" ht="18" customHeight="1">
      <c r="B155" s="8" t="n"/>
      <c r="C155" s="9" t="n"/>
      <c r="D155" s="9" t="n"/>
      <c r="E155" s="10" t="n"/>
      <c r="F155" s="9" t="n"/>
      <c r="G155" s="11" t="n"/>
      <c r="H155" s="12" t="n"/>
      <c r="I155" s="13" t="n"/>
      <c r="J155" s="11" t="n"/>
      <c r="K155" s="11" t="n"/>
      <c r="L155" s="14">
        <f>IFERROR(J155+K155,J155)</f>
        <v/>
      </c>
      <c r="M155" s="15">
        <f>IFERROR(IF(C155="CP",INT(G155*365),INT(G155*365)),"")</f>
        <v/>
      </c>
      <c r="N155" s="16">
        <f>IFERROR(L155*H155/100,"")</f>
        <v/>
      </c>
    </row>
    <row r="156" ht="18" customHeight="1">
      <c r="B156" s="8" t="n"/>
      <c r="C156" s="9" t="n"/>
      <c r="D156" s="9" t="n"/>
      <c r="E156" s="10" t="n"/>
      <c r="F156" s="9" t="n"/>
      <c r="G156" s="11" t="n"/>
      <c r="H156" s="12" t="n"/>
      <c r="I156" s="13" t="n"/>
      <c r="J156" s="11" t="n"/>
      <c r="K156" s="11" t="n"/>
      <c r="L156" s="14">
        <f>IFERROR(J156+K156,J156)</f>
        <v/>
      </c>
      <c r="M156" s="15">
        <f>IFERROR(IF(C156="CP",INT(G156*365),INT(G156*365)),"")</f>
        <v/>
      </c>
      <c r="N156" s="16">
        <f>IFERROR(L156*H156/100,"")</f>
        <v/>
      </c>
    </row>
    <row r="157" ht="18" customHeight="1">
      <c r="B157" s="8" t="n"/>
      <c r="C157" s="9" t="n"/>
      <c r="D157" s="9" t="n"/>
      <c r="E157" s="10" t="n"/>
      <c r="F157" s="9" t="n"/>
      <c r="G157" s="11" t="n"/>
      <c r="H157" s="12" t="n"/>
      <c r="I157" s="13" t="n"/>
      <c r="J157" s="11" t="n"/>
      <c r="K157" s="11" t="n"/>
      <c r="L157" s="14">
        <f>IFERROR(J157+K157,J157)</f>
        <v/>
      </c>
      <c r="M157" s="15">
        <f>IFERROR(IF(C157="CP",INT(G157*365),INT(G157*365)),"")</f>
        <v/>
      </c>
      <c r="N157" s="16">
        <f>IFERROR(L157*H157/100,"")</f>
        <v/>
      </c>
    </row>
    <row r="158" ht="18" customHeight="1">
      <c r="B158" s="8" t="n"/>
      <c r="C158" s="9" t="n"/>
      <c r="D158" s="9" t="n"/>
      <c r="E158" s="10" t="n"/>
      <c r="F158" s="9" t="n"/>
      <c r="G158" s="11" t="n"/>
      <c r="H158" s="12" t="n"/>
      <c r="I158" s="13" t="n"/>
      <c r="J158" s="11" t="n"/>
      <c r="K158" s="11" t="n"/>
      <c r="L158" s="14">
        <f>IFERROR(J158+K158,J158)</f>
        <v/>
      </c>
      <c r="M158" s="15">
        <f>IFERROR(IF(C158="CP",INT(G158*365),INT(G158*365)),"")</f>
        <v/>
      </c>
      <c r="N158" s="16">
        <f>IFERROR(L158*H158/100,"")</f>
        <v/>
      </c>
    </row>
    <row r="159" ht="18" customHeight="1">
      <c r="B159" s="8" t="n"/>
      <c r="C159" s="9" t="n"/>
      <c r="D159" s="9" t="n"/>
      <c r="E159" s="10" t="n"/>
      <c r="F159" s="9" t="n"/>
      <c r="G159" s="11" t="n"/>
      <c r="H159" s="12" t="n"/>
      <c r="I159" s="13" t="n"/>
      <c r="J159" s="11" t="n"/>
      <c r="K159" s="11" t="n"/>
      <c r="L159" s="14">
        <f>IFERROR(J159+K159,J159)</f>
        <v/>
      </c>
      <c r="M159" s="15">
        <f>IFERROR(IF(C159="CP",INT(G159*365),INT(G159*365)),"")</f>
        <v/>
      </c>
      <c r="N159" s="16">
        <f>IFERROR(L159*H159/100,"")</f>
        <v/>
      </c>
    </row>
    <row r="160" ht="18" customHeight="1">
      <c r="B160" s="8" t="n"/>
      <c r="C160" s="9" t="n"/>
      <c r="D160" s="9" t="n"/>
      <c r="E160" s="10" t="n"/>
      <c r="F160" s="9" t="n"/>
      <c r="G160" s="11" t="n"/>
      <c r="H160" s="12" t="n"/>
      <c r="I160" s="13" t="n"/>
      <c r="J160" s="11" t="n"/>
      <c r="K160" s="11" t="n"/>
      <c r="L160" s="14">
        <f>IFERROR(J160+K160,J160)</f>
        <v/>
      </c>
      <c r="M160" s="15">
        <f>IFERROR(IF(C160="CP",INT(G160*365),INT(G160*365)),"")</f>
        <v/>
      </c>
      <c r="N160" s="16">
        <f>IFERROR(L160*H160/100,"")</f>
        <v/>
      </c>
    </row>
    <row r="161" ht="18" customHeight="1">
      <c r="B161" s="8" t="n"/>
      <c r="C161" s="9" t="n"/>
      <c r="D161" s="9" t="n"/>
      <c r="E161" s="10" t="n"/>
      <c r="F161" s="9" t="n"/>
      <c r="G161" s="11" t="n"/>
      <c r="H161" s="12" t="n"/>
      <c r="I161" s="13" t="n"/>
      <c r="J161" s="11" t="n"/>
      <c r="K161" s="11" t="n"/>
      <c r="L161" s="14">
        <f>IFERROR(J161+K161,J161)</f>
        <v/>
      </c>
      <c r="M161" s="15">
        <f>IFERROR(IF(C161="CP",INT(G161*365),INT(G161*365)),"")</f>
        <v/>
      </c>
      <c r="N161" s="16">
        <f>IFERROR(L161*H161/100,"")</f>
        <v/>
      </c>
    </row>
    <row r="162" ht="18" customHeight="1">
      <c r="B162" s="8" t="n"/>
      <c r="C162" s="9" t="n"/>
      <c r="D162" s="9" t="n"/>
      <c r="E162" s="10" t="n"/>
      <c r="F162" s="9" t="n"/>
      <c r="G162" s="11" t="n"/>
      <c r="H162" s="12" t="n"/>
      <c r="I162" s="13" t="n"/>
      <c r="J162" s="11" t="n"/>
      <c r="K162" s="11" t="n"/>
      <c r="L162" s="14">
        <f>IFERROR(J162+K162,J162)</f>
        <v/>
      </c>
      <c r="M162" s="15">
        <f>IFERROR(IF(C162="CP",INT(G162*365),INT(G162*365)),"")</f>
        <v/>
      </c>
      <c r="N162" s="16">
        <f>IFERROR(L162*H162/100,"")</f>
        <v/>
      </c>
    </row>
    <row r="163" ht="18" customHeight="1">
      <c r="B163" s="8" t="n"/>
      <c r="C163" s="9" t="n"/>
      <c r="D163" s="9" t="n"/>
      <c r="E163" s="10" t="n"/>
      <c r="F163" s="9" t="n"/>
      <c r="G163" s="11" t="n"/>
      <c r="H163" s="12" t="n"/>
      <c r="I163" s="13" t="n"/>
      <c r="J163" s="11" t="n"/>
      <c r="K163" s="11" t="n"/>
      <c r="L163" s="14">
        <f>IFERROR(J163+K163,J163)</f>
        <v/>
      </c>
      <c r="M163" s="15">
        <f>IFERROR(IF(C163="CP",INT(G163*365),INT(G163*365)),"")</f>
        <v/>
      </c>
      <c r="N163" s="16">
        <f>IFERROR(L163*H163/100,"")</f>
        <v/>
      </c>
    </row>
    <row r="164" ht="18" customHeight="1">
      <c r="B164" s="8" t="n"/>
      <c r="C164" s="9" t="n"/>
      <c r="D164" s="9" t="n"/>
      <c r="E164" s="10" t="n"/>
      <c r="F164" s="9" t="n"/>
      <c r="G164" s="11" t="n"/>
      <c r="H164" s="12" t="n"/>
      <c r="I164" s="13" t="n"/>
      <c r="J164" s="11" t="n"/>
      <c r="K164" s="11" t="n"/>
      <c r="L164" s="14">
        <f>IFERROR(J164+K164,J164)</f>
        <v/>
      </c>
      <c r="M164" s="15">
        <f>IFERROR(IF(C164="CP",INT(G164*365),INT(G164*365)),"")</f>
        <v/>
      </c>
      <c r="N164" s="16">
        <f>IFERROR(L164*H164/100,"")</f>
        <v/>
      </c>
    </row>
    <row r="165" ht="18" customHeight="1">
      <c r="B165" s="8" t="n"/>
      <c r="C165" s="9" t="n"/>
      <c r="D165" s="9" t="n"/>
      <c r="E165" s="10" t="n"/>
      <c r="F165" s="9" t="n"/>
      <c r="G165" s="11" t="n"/>
      <c r="H165" s="12" t="n"/>
      <c r="I165" s="13" t="n"/>
      <c r="J165" s="11" t="n"/>
      <c r="K165" s="11" t="n"/>
      <c r="L165" s="14">
        <f>IFERROR(J165+K165,J165)</f>
        <v/>
      </c>
      <c r="M165" s="15">
        <f>IFERROR(IF(C165="CP",INT(G165*365),INT(G165*365)),"")</f>
        <v/>
      </c>
      <c r="N165" s="16">
        <f>IFERROR(L165*H165/100,"")</f>
        <v/>
      </c>
    </row>
    <row r="166" ht="18" customHeight="1">
      <c r="B166" s="8" t="n"/>
      <c r="C166" s="9" t="n"/>
      <c r="D166" s="9" t="n"/>
      <c r="E166" s="10" t="n"/>
      <c r="F166" s="9" t="n"/>
      <c r="G166" s="11" t="n"/>
      <c r="H166" s="12" t="n"/>
      <c r="I166" s="13" t="n"/>
      <c r="J166" s="11" t="n"/>
      <c r="K166" s="11" t="n"/>
      <c r="L166" s="14">
        <f>IFERROR(J166+K166,J166)</f>
        <v/>
      </c>
      <c r="M166" s="15">
        <f>IFERROR(IF(C166="CP",INT(G166*365),INT(G166*365)),"")</f>
        <v/>
      </c>
      <c r="N166" s="16">
        <f>IFERROR(L166*H166/100,"")</f>
        <v/>
      </c>
    </row>
    <row r="167" ht="18" customHeight="1">
      <c r="B167" s="8" t="n"/>
      <c r="C167" s="9" t="n"/>
      <c r="D167" s="9" t="n"/>
      <c r="E167" s="10" t="n"/>
      <c r="F167" s="9" t="n"/>
      <c r="G167" s="11" t="n"/>
      <c r="H167" s="12" t="n"/>
      <c r="I167" s="13" t="n"/>
      <c r="J167" s="11" t="n"/>
      <c r="K167" s="11" t="n"/>
      <c r="L167" s="14">
        <f>IFERROR(J167+K167,J167)</f>
        <v/>
      </c>
      <c r="M167" s="15">
        <f>IFERROR(IF(C167="CP",INT(G167*365),INT(G167*365)),"")</f>
        <v/>
      </c>
      <c r="N167" s="16">
        <f>IFERROR(L167*H167/100,"")</f>
        <v/>
      </c>
    </row>
    <row r="168" ht="18" customHeight="1">
      <c r="B168" s="8" t="n"/>
      <c r="C168" s="9" t="n"/>
      <c r="D168" s="9" t="n"/>
      <c r="E168" s="10" t="n"/>
      <c r="F168" s="9" t="n"/>
      <c r="G168" s="11" t="n"/>
      <c r="H168" s="12" t="n"/>
      <c r="I168" s="13" t="n"/>
      <c r="J168" s="11" t="n"/>
      <c r="K168" s="11" t="n"/>
      <c r="L168" s="14">
        <f>IFERROR(J168+K168,J168)</f>
        <v/>
      </c>
      <c r="M168" s="15">
        <f>IFERROR(IF(C168="CP",INT(G168*365),INT(G168*365)),"")</f>
        <v/>
      </c>
      <c r="N168" s="16">
        <f>IFERROR(L168*H168/100,"")</f>
        <v/>
      </c>
    </row>
    <row r="169" ht="18" customHeight="1">
      <c r="B169" s="8" t="n"/>
      <c r="C169" s="9" t="n"/>
      <c r="D169" s="9" t="n"/>
      <c r="E169" s="10" t="n"/>
      <c r="F169" s="9" t="n"/>
      <c r="G169" s="11" t="n"/>
      <c r="H169" s="12" t="n"/>
      <c r="I169" s="13" t="n"/>
      <c r="J169" s="11" t="n"/>
      <c r="K169" s="11" t="n"/>
      <c r="L169" s="14">
        <f>IFERROR(J169+K169,J169)</f>
        <v/>
      </c>
      <c r="M169" s="15">
        <f>IFERROR(IF(C169="CP",INT(G169*365),INT(G169*365)),"")</f>
        <v/>
      </c>
      <c r="N169" s="16">
        <f>IFERROR(L169*H169/100,"")</f>
        <v/>
      </c>
    </row>
    <row r="170" ht="18" customHeight="1">
      <c r="B170" s="8" t="n"/>
      <c r="C170" s="9" t="n"/>
      <c r="D170" s="9" t="n"/>
      <c r="E170" s="10" t="n"/>
      <c r="F170" s="9" t="n"/>
      <c r="G170" s="11" t="n"/>
      <c r="H170" s="12" t="n"/>
      <c r="I170" s="13" t="n"/>
      <c r="J170" s="11" t="n"/>
      <c r="K170" s="11" t="n"/>
      <c r="L170" s="14">
        <f>IFERROR(J170+K170,J170)</f>
        <v/>
      </c>
      <c r="M170" s="15">
        <f>IFERROR(IF(C170="CP",INT(G170*365),INT(G170*365)),"")</f>
        <v/>
      </c>
      <c r="N170" s="16">
        <f>IFERROR(L170*H170/100,"")</f>
        <v/>
      </c>
    </row>
    <row r="171" ht="18" customHeight="1">
      <c r="B171" s="8" t="n"/>
      <c r="C171" s="9" t="n"/>
      <c r="D171" s="9" t="n"/>
      <c r="E171" s="10" t="n"/>
      <c r="F171" s="9" t="n"/>
      <c r="G171" s="11" t="n"/>
      <c r="H171" s="12" t="n"/>
      <c r="I171" s="13" t="n"/>
      <c r="J171" s="11" t="n"/>
      <c r="K171" s="11" t="n"/>
      <c r="L171" s="14">
        <f>IFERROR(J171+K171,J171)</f>
        <v/>
      </c>
      <c r="M171" s="15">
        <f>IFERROR(IF(C171="CP",INT(G171*365),INT(G171*365)),"")</f>
        <v/>
      </c>
      <c r="N171" s="16">
        <f>IFERROR(L171*H171/100,"")</f>
        <v/>
      </c>
    </row>
    <row r="172" ht="18" customHeight="1">
      <c r="B172" s="8" t="n"/>
      <c r="C172" s="9" t="n"/>
      <c r="D172" s="9" t="n"/>
      <c r="E172" s="10" t="n"/>
      <c r="F172" s="9" t="n"/>
      <c r="G172" s="11" t="n"/>
      <c r="H172" s="12" t="n"/>
      <c r="I172" s="13" t="n"/>
      <c r="J172" s="11" t="n"/>
      <c r="K172" s="11" t="n"/>
      <c r="L172" s="14">
        <f>IFERROR(J172+K172,J172)</f>
        <v/>
      </c>
      <c r="M172" s="15">
        <f>IFERROR(IF(C172="CP",INT(G172*365),INT(G172*365)),"")</f>
        <v/>
      </c>
      <c r="N172" s="16">
        <f>IFERROR(L172*H172/100,"")</f>
        <v/>
      </c>
    </row>
    <row r="173" ht="18" customHeight="1">
      <c r="B173" s="8" t="n"/>
      <c r="C173" s="9" t="n"/>
      <c r="D173" s="9" t="n"/>
      <c r="E173" s="10" t="n"/>
      <c r="F173" s="9" t="n"/>
      <c r="G173" s="11" t="n"/>
      <c r="H173" s="12" t="n"/>
      <c r="I173" s="13" t="n"/>
      <c r="J173" s="11" t="n"/>
      <c r="K173" s="11" t="n"/>
      <c r="L173" s="14">
        <f>IFERROR(J173+K173,J173)</f>
        <v/>
      </c>
      <c r="M173" s="15">
        <f>IFERROR(IF(C173="CP",INT(G173*365),INT(G173*365)),"")</f>
        <v/>
      </c>
      <c r="N173" s="16">
        <f>IFERROR(L173*H173/100,"")</f>
        <v/>
      </c>
    </row>
    <row r="174" ht="18" customHeight="1">
      <c r="B174" s="8" t="n"/>
      <c r="C174" s="9" t="n"/>
      <c r="D174" s="9" t="n"/>
      <c r="E174" s="10" t="n"/>
      <c r="F174" s="9" t="n"/>
      <c r="G174" s="11" t="n"/>
      <c r="H174" s="12" t="n"/>
      <c r="I174" s="13" t="n"/>
      <c r="J174" s="11" t="n"/>
      <c r="K174" s="11" t="n"/>
      <c r="L174" s="14">
        <f>IFERROR(J174+K174,J174)</f>
        <v/>
      </c>
      <c r="M174" s="15">
        <f>IFERROR(IF(C174="CP",INT(G174*365),INT(G174*365)),"")</f>
        <v/>
      </c>
      <c r="N174" s="16">
        <f>IFERROR(L174*H174/100,"")</f>
        <v/>
      </c>
    </row>
    <row r="175" ht="18" customHeight="1">
      <c r="B175" s="8" t="n"/>
      <c r="C175" s="9" t="n"/>
      <c r="D175" s="9" t="n"/>
      <c r="E175" s="10" t="n"/>
      <c r="F175" s="9" t="n"/>
      <c r="G175" s="11" t="n"/>
      <c r="H175" s="12" t="n"/>
      <c r="I175" s="13" t="n"/>
      <c r="J175" s="11" t="n"/>
      <c r="K175" s="11" t="n"/>
      <c r="L175" s="14">
        <f>IFERROR(J175+K175,J175)</f>
        <v/>
      </c>
      <c r="M175" s="15">
        <f>IFERROR(IF(C175="CP",INT(G175*365),INT(G175*365)),"")</f>
        <v/>
      </c>
      <c r="N175" s="16">
        <f>IFERROR(L175*H175/100,"")</f>
        <v/>
      </c>
    </row>
    <row r="176" ht="18" customHeight="1">
      <c r="B176" s="8" t="n"/>
      <c r="C176" s="9" t="n"/>
      <c r="D176" s="9" t="n"/>
      <c r="E176" s="10" t="n"/>
      <c r="F176" s="9" t="n"/>
      <c r="G176" s="11" t="n"/>
      <c r="H176" s="12" t="n"/>
      <c r="I176" s="13" t="n"/>
      <c r="J176" s="11" t="n"/>
      <c r="K176" s="11" t="n"/>
      <c r="L176" s="14">
        <f>IFERROR(J176+K176,J176)</f>
        <v/>
      </c>
      <c r="M176" s="15">
        <f>IFERROR(IF(C176="CP",INT(G176*365),INT(G176*365)),"")</f>
        <v/>
      </c>
      <c r="N176" s="16">
        <f>IFERROR(L176*H176/100,"")</f>
        <v/>
      </c>
    </row>
    <row r="177" ht="18" customHeight="1">
      <c r="B177" s="8" t="n"/>
      <c r="C177" s="9" t="n"/>
      <c r="D177" s="9" t="n"/>
      <c r="E177" s="10" t="n"/>
      <c r="F177" s="9" t="n"/>
      <c r="G177" s="11" t="n"/>
      <c r="H177" s="12" t="n"/>
      <c r="I177" s="13" t="n"/>
      <c r="J177" s="11" t="n"/>
      <c r="K177" s="11" t="n"/>
      <c r="L177" s="14">
        <f>IFERROR(J177+K177,J177)</f>
        <v/>
      </c>
      <c r="M177" s="15">
        <f>IFERROR(IF(C177="CP",INT(G177*365),INT(G177*365)),"")</f>
        <v/>
      </c>
      <c r="N177" s="16">
        <f>IFERROR(L177*H177/100,"")</f>
        <v/>
      </c>
    </row>
    <row r="178" ht="18" customHeight="1">
      <c r="B178" s="8" t="n"/>
      <c r="C178" s="9" t="n"/>
      <c r="D178" s="9" t="n"/>
      <c r="E178" s="10" t="n"/>
      <c r="F178" s="9" t="n"/>
      <c r="G178" s="11" t="n"/>
      <c r="H178" s="12" t="n"/>
      <c r="I178" s="13" t="n"/>
      <c r="J178" s="11" t="n"/>
      <c r="K178" s="11" t="n"/>
      <c r="L178" s="14">
        <f>IFERROR(J178+K178,J178)</f>
        <v/>
      </c>
      <c r="M178" s="15">
        <f>IFERROR(IF(C178="CP",INT(G178*365),INT(G178*365)),"")</f>
        <v/>
      </c>
      <c r="N178" s="16">
        <f>IFERROR(L178*H178/100,"")</f>
        <v/>
      </c>
    </row>
    <row r="179" ht="18" customHeight="1">
      <c r="B179" s="8" t="n"/>
      <c r="C179" s="9" t="n"/>
      <c r="D179" s="9" t="n"/>
      <c r="E179" s="10" t="n"/>
      <c r="F179" s="9" t="n"/>
      <c r="G179" s="11" t="n"/>
      <c r="H179" s="12" t="n"/>
      <c r="I179" s="13" t="n"/>
      <c r="J179" s="11" t="n"/>
      <c r="K179" s="11" t="n"/>
      <c r="L179" s="14">
        <f>IFERROR(J179+K179,J179)</f>
        <v/>
      </c>
      <c r="M179" s="15">
        <f>IFERROR(IF(C179="CP",INT(G179*365),INT(G179*365)),"")</f>
        <v/>
      </c>
      <c r="N179" s="16">
        <f>IFERROR(L179*H179/100,"")</f>
        <v/>
      </c>
    </row>
    <row r="180" ht="18" customHeight="1">
      <c r="B180" s="8" t="n"/>
      <c r="C180" s="9" t="n"/>
      <c r="D180" s="9" t="n"/>
      <c r="E180" s="10" t="n"/>
      <c r="F180" s="9" t="n"/>
      <c r="G180" s="11" t="n"/>
      <c r="H180" s="12" t="n"/>
      <c r="I180" s="13" t="n"/>
      <c r="J180" s="11" t="n"/>
      <c r="K180" s="11" t="n"/>
      <c r="L180" s="14">
        <f>IFERROR(J180+K180,J180)</f>
        <v/>
      </c>
      <c r="M180" s="15">
        <f>IFERROR(IF(C180="CP",INT(G180*365),INT(G180*365)),"")</f>
        <v/>
      </c>
      <c r="N180" s="16">
        <f>IFERROR(L180*H180/100,"")</f>
        <v/>
      </c>
    </row>
    <row r="181" ht="18" customHeight="1">
      <c r="B181" s="8" t="n"/>
      <c r="C181" s="9" t="n"/>
      <c r="D181" s="9" t="n"/>
      <c r="E181" s="10" t="n"/>
      <c r="F181" s="9" t="n"/>
      <c r="G181" s="11" t="n"/>
      <c r="H181" s="12" t="n"/>
      <c r="I181" s="13" t="n"/>
      <c r="J181" s="11" t="n"/>
      <c r="K181" s="11" t="n"/>
      <c r="L181" s="14">
        <f>IFERROR(J181+K181,J181)</f>
        <v/>
      </c>
      <c r="M181" s="15">
        <f>IFERROR(IF(C181="CP",INT(G181*365),INT(G181*365)),"")</f>
        <v/>
      </c>
      <c r="N181" s="16">
        <f>IFERROR(L181*H181/100,"")</f>
        <v/>
      </c>
    </row>
    <row r="182" ht="18" customHeight="1">
      <c r="B182" s="8" t="n"/>
      <c r="C182" s="9" t="n"/>
      <c r="D182" s="9" t="n"/>
      <c r="E182" s="10" t="n"/>
      <c r="F182" s="9" t="n"/>
      <c r="G182" s="11" t="n"/>
      <c r="H182" s="12" t="n"/>
      <c r="I182" s="13" t="n"/>
      <c r="J182" s="11" t="n"/>
      <c r="K182" s="11" t="n"/>
      <c r="L182" s="14">
        <f>IFERROR(J182+K182,J182)</f>
        <v/>
      </c>
      <c r="M182" s="15">
        <f>IFERROR(IF(C182="CP",INT(G182*365),INT(G182*365)),"")</f>
        <v/>
      </c>
      <c r="N182" s="16">
        <f>IFERROR(L182*H182/100,"")</f>
        <v/>
      </c>
    </row>
    <row r="183" ht="18" customHeight="1">
      <c r="B183" s="8" t="n"/>
      <c r="C183" s="9" t="n"/>
      <c r="D183" s="9" t="n"/>
      <c r="E183" s="10" t="n"/>
      <c r="F183" s="9" t="n"/>
      <c r="G183" s="11" t="n"/>
      <c r="H183" s="12" t="n"/>
      <c r="I183" s="13" t="n"/>
      <c r="J183" s="11" t="n"/>
      <c r="K183" s="11" t="n"/>
      <c r="L183" s="14">
        <f>IFERROR(J183+K183,J183)</f>
        <v/>
      </c>
      <c r="M183" s="15">
        <f>IFERROR(IF(C183="CP",INT(G183*365),INT(G183*365)),"")</f>
        <v/>
      </c>
      <c r="N183" s="16">
        <f>IFERROR(L183*H183/100,"")</f>
        <v/>
      </c>
    </row>
    <row r="184" ht="18" customHeight="1">
      <c r="B184" s="8" t="n"/>
      <c r="C184" s="9" t="n"/>
      <c r="D184" s="9" t="n"/>
      <c r="E184" s="10" t="n"/>
      <c r="F184" s="9" t="n"/>
      <c r="G184" s="11" t="n"/>
      <c r="H184" s="12" t="n"/>
      <c r="I184" s="13" t="n"/>
      <c r="J184" s="11" t="n"/>
      <c r="K184" s="11" t="n"/>
      <c r="L184" s="14">
        <f>IFERROR(J184+K184,J184)</f>
        <v/>
      </c>
      <c r="M184" s="15">
        <f>IFERROR(IF(C184="CP",INT(G184*365),INT(G184*365)),"")</f>
        <v/>
      </c>
      <c r="N184" s="16">
        <f>IFERROR(L184*H184/100,"")</f>
        <v/>
      </c>
    </row>
    <row r="185" ht="18" customHeight="1">
      <c r="B185" s="8" t="n"/>
      <c r="C185" s="9" t="n"/>
      <c r="D185" s="9" t="n"/>
      <c r="E185" s="10" t="n"/>
      <c r="F185" s="9" t="n"/>
      <c r="G185" s="11" t="n"/>
      <c r="H185" s="12" t="n"/>
      <c r="I185" s="13" t="n"/>
      <c r="J185" s="11" t="n"/>
      <c r="K185" s="11" t="n"/>
      <c r="L185" s="14">
        <f>IFERROR(J185+K185,J185)</f>
        <v/>
      </c>
      <c r="M185" s="15">
        <f>IFERROR(IF(C185="CP",INT(G185*365),INT(G185*365)),"")</f>
        <v/>
      </c>
      <c r="N185" s="16">
        <f>IFERROR(L185*H185/100,"")</f>
        <v/>
      </c>
    </row>
    <row r="186" ht="18" customHeight="1">
      <c r="B186" s="8" t="n"/>
      <c r="C186" s="9" t="n"/>
      <c r="D186" s="9" t="n"/>
      <c r="E186" s="10" t="n"/>
      <c r="F186" s="9" t="n"/>
      <c r="G186" s="11" t="n"/>
      <c r="H186" s="12" t="n"/>
      <c r="I186" s="13" t="n"/>
      <c r="J186" s="11" t="n"/>
      <c r="K186" s="11" t="n"/>
      <c r="L186" s="14">
        <f>IFERROR(J186+K186,J186)</f>
        <v/>
      </c>
      <c r="M186" s="15">
        <f>IFERROR(IF(C186="CP",INT(G186*365),INT(G186*365)),"")</f>
        <v/>
      </c>
      <c r="N186" s="16">
        <f>IFERROR(L186*H186/100,"")</f>
        <v/>
      </c>
    </row>
    <row r="187" ht="18" customHeight="1">
      <c r="B187" s="8" t="n"/>
      <c r="C187" s="9" t="n"/>
      <c r="D187" s="9" t="n"/>
      <c r="E187" s="10" t="n"/>
      <c r="F187" s="9" t="n"/>
      <c r="G187" s="11" t="n"/>
      <c r="H187" s="12" t="n"/>
      <c r="I187" s="13" t="n"/>
      <c r="J187" s="11" t="n"/>
      <c r="K187" s="11" t="n"/>
      <c r="L187" s="14">
        <f>IFERROR(J187+K187,J187)</f>
        <v/>
      </c>
      <c r="M187" s="15">
        <f>IFERROR(IF(C187="CP",INT(G187*365),INT(G187*365)),"")</f>
        <v/>
      </c>
      <c r="N187" s="16">
        <f>IFERROR(L187*H187/100,"")</f>
        <v/>
      </c>
    </row>
    <row r="188" ht="18" customHeight="1">
      <c r="B188" s="8" t="n"/>
      <c r="C188" s="9" t="n"/>
      <c r="D188" s="9" t="n"/>
      <c r="E188" s="10" t="n"/>
      <c r="F188" s="9" t="n"/>
      <c r="G188" s="11" t="n"/>
      <c r="H188" s="12" t="n"/>
      <c r="I188" s="13" t="n"/>
      <c r="J188" s="11" t="n"/>
      <c r="K188" s="11" t="n"/>
      <c r="L188" s="14">
        <f>IFERROR(J188+K188,J188)</f>
        <v/>
      </c>
      <c r="M188" s="15">
        <f>IFERROR(IF(C188="CP",INT(G188*365),INT(G188*365)),"")</f>
        <v/>
      </c>
      <c r="N188" s="16">
        <f>IFERROR(L188*H188/100,"")</f>
        <v/>
      </c>
    </row>
    <row r="189" ht="18" customHeight="1">
      <c r="B189" s="8" t="n"/>
      <c r="C189" s="9" t="n"/>
      <c r="D189" s="9" t="n"/>
      <c r="E189" s="10" t="n"/>
      <c r="F189" s="9" t="n"/>
      <c r="G189" s="11" t="n"/>
      <c r="H189" s="12" t="n"/>
      <c r="I189" s="13" t="n"/>
      <c r="J189" s="11" t="n"/>
      <c r="K189" s="11" t="n"/>
      <c r="L189" s="14">
        <f>IFERROR(J189+K189,J189)</f>
        <v/>
      </c>
      <c r="M189" s="15">
        <f>IFERROR(IF(C189="CP",INT(G189*365),INT(G189*365)),"")</f>
        <v/>
      </c>
      <c r="N189" s="16">
        <f>IFERROR(L189*H189/100,"")</f>
        <v/>
      </c>
    </row>
    <row r="190" ht="18" customHeight="1">
      <c r="B190" s="8" t="n"/>
      <c r="C190" s="9" t="n"/>
      <c r="D190" s="9" t="n"/>
      <c r="E190" s="10" t="n"/>
      <c r="F190" s="9" t="n"/>
      <c r="G190" s="11" t="n"/>
      <c r="H190" s="12" t="n"/>
      <c r="I190" s="13" t="n"/>
      <c r="J190" s="11" t="n"/>
      <c r="K190" s="11" t="n"/>
      <c r="L190" s="14">
        <f>IFERROR(J190+K190,J190)</f>
        <v/>
      </c>
      <c r="M190" s="15">
        <f>IFERROR(IF(C190="CP",INT(G190*365),INT(G190*365)),"")</f>
        <v/>
      </c>
      <c r="N190" s="16">
        <f>IFERROR(L190*H190/100,"")</f>
        <v/>
      </c>
    </row>
    <row r="191" ht="18" customHeight="1">
      <c r="B191" s="8" t="n"/>
      <c r="C191" s="9" t="n"/>
      <c r="D191" s="9" t="n"/>
      <c r="E191" s="10" t="n"/>
      <c r="F191" s="9" t="n"/>
      <c r="G191" s="11" t="n"/>
      <c r="H191" s="12" t="n"/>
      <c r="I191" s="13" t="n"/>
      <c r="J191" s="11" t="n"/>
      <c r="K191" s="11" t="n"/>
      <c r="L191" s="14">
        <f>IFERROR(J191+K191,J191)</f>
        <v/>
      </c>
      <c r="M191" s="15">
        <f>IFERROR(IF(C191="CP",INT(G191*365),INT(G191*365)),"")</f>
        <v/>
      </c>
      <c r="N191" s="16">
        <f>IFERROR(L191*H191/100,"")</f>
        <v/>
      </c>
    </row>
    <row r="192" ht="18" customHeight="1">
      <c r="B192" s="8" t="n"/>
      <c r="C192" s="9" t="n"/>
      <c r="D192" s="9" t="n"/>
      <c r="E192" s="10" t="n"/>
      <c r="F192" s="9" t="n"/>
      <c r="G192" s="11" t="n"/>
      <c r="H192" s="12" t="n"/>
      <c r="I192" s="13" t="n"/>
      <c r="J192" s="11" t="n"/>
      <c r="K192" s="11" t="n"/>
      <c r="L192" s="14">
        <f>IFERROR(J192+K192,J192)</f>
        <v/>
      </c>
      <c r="M192" s="15">
        <f>IFERROR(IF(C192="CP",INT(G192*365),INT(G192*365)),"")</f>
        <v/>
      </c>
      <c r="N192" s="16">
        <f>IFERROR(L192*H192/100,"")</f>
        <v/>
      </c>
    </row>
    <row r="193" ht="18" customHeight="1">
      <c r="B193" s="8" t="n"/>
      <c r="C193" s="9" t="n"/>
      <c r="D193" s="9" t="n"/>
      <c r="E193" s="10" t="n"/>
      <c r="F193" s="9" t="n"/>
      <c r="G193" s="11" t="n"/>
      <c r="H193" s="12" t="n"/>
      <c r="I193" s="13" t="n"/>
      <c r="J193" s="11" t="n"/>
      <c r="K193" s="11" t="n"/>
      <c r="L193" s="14">
        <f>IFERROR(J193+K193,J193)</f>
        <v/>
      </c>
      <c r="M193" s="15">
        <f>IFERROR(IF(C193="CP",INT(G193*365),INT(G193*365)),"")</f>
        <v/>
      </c>
      <c r="N193" s="16">
        <f>IFERROR(L193*H193/100,"")</f>
        <v/>
      </c>
    </row>
    <row r="194" ht="18" customHeight="1">
      <c r="B194" s="8" t="n"/>
      <c r="C194" s="9" t="n"/>
      <c r="D194" s="9" t="n"/>
      <c r="E194" s="10" t="n"/>
      <c r="F194" s="9" t="n"/>
      <c r="G194" s="11" t="n"/>
      <c r="H194" s="12" t="n"/>
      <c r="I194" s="13" t="n"/>
      <c r="J194" s="11" t="n"/>
      <c r="K194" s="11" t="n"/>
      <c r="L194" s="14">
        <f>IFERROR(J194+K194,J194)</f>
        <v/>
      </c>
      <c r="M194" s="15">
        <f>IFERROR(IF(C194="CP",INT(G194*365),INT(G194*365)),"")</f>
        <v/>
      </c>
      <c r="N194" s="16">
        <f>IFERROR(L194*H194/100,"")</f>
        <v/>
      </c>
    </row>
    <row r="195" ht="18" customHeight="1">
      <c r="B195" s="8" t="n"/>
      <c r="C195" s="9" t="n"/>
      <c r="D195" s="9" t="n"/>
      <c r="E195" s="10" t="n"/>
      <c r="F195" s="9" t="n"/>
      <c r="G195" s="11" t="n"/>
      <c r="H195" s="12" t="n"/>
      <c r="I195" s="13" t="n"/>
      <c r="J195" s="11" t="n"/>
      <c r="K195" s="11" t="n"/>
      <c r="L195" s="14">
        <f>IFERROR(J195+K195,J195)</f>
        <v/>
      </c>
      <c r="M195" s="15">
        <f>IFERROR(IF(C195="CP",INT(G195*365),INT(G195*365)),"")</f>
        <v/>
      </c>
      <c r="N195" s="16">
        <f>IFERROR(L195*H195/100,"")</f>
        <v/>
      </c>
    </row>
    <row r="196" ht="18" customHeight="1">
      <c r="B196" s="8" t="n"/>
      <c r="C196" s="9" t="n"/>
      <c r="D196" s="9" t="n"/>
      <c r="E196" s="10" t="n"/>
      <c r="F196" s="9" t="n"/>
      <c r="G196" s="11" t="n"/>
      <c r="H196" s="12" t="n"/>
      <c r="I196" s="13" t="n"/>
      <c r="J196" s="11" t="n"/>
      <c r="K196" s="11" t="n"/>
      <c r="L196" s="14">
        <f>IFERROR(J196+K196,J196)</f>
        <v/>
      </c>
      <c r="M196" s="15">
        <f>IFERROR(IF(C196="CP",INT(G196*365),INT(G196*365)),"")</f>
        <v/>
      </c>
      <c r="N196" s="16">
        <f>IFERROR(L196*H196/100,"")</f>
        <v/>
      </c>
    </row>
    <row r="197" ht="18" customHeight="1">
      <c r="B197" s="8" t="n"/>
      <c r="C197" s="9" t="n"/>
      <c r="D197" s="9" t="n"/>
      <c r="E197" s="10" t="n"/>
      <c r="F197" s="9" t="n"/>
      <c r="G197" s="11" t="n"/>
      <c r="H197" s="12" t="n"/>
      <c r="I197" s="13" t="n"/>
      <c r="J197" s="11" t="n"/>
      <c r="K197" s="11" t="n"/>
      <c r="L197" s="14">
        <f>IFERROR(J197+K197,J197)</f>
        <v/>
      </c>
      <c r="M197" s="15">
        <f>IFERROR(IF(C197="CP",INT(G197*365),INT(G197*365)),"")</f>
        <v/>
      </c>
      <c r="N197" s="16">
        <f>IFERROR(L197*H197/100,"")</f>
        <v/>
      </c>
    </row>
    <row r="198" ht="18" customHeight="1">
      <c r="B198" s="8" t="n"/>
      <c r="C198" s="9" t="n"/>
      <c r="D198" s="9" t="n"/>
      <c r="E198" s="10" t="n"/>
      <c r="F198" s="9" t="n"/>
      <c r="G198" s="11" t="n"/>
      <c r="H198" s="12" t="n"/>
      <c r="I198" s="13" t="n"/>
      <c r="J198" s="11" t="n"/>
      <c r="K198" s="11" t="n"/>
      <c r="L198" s="14">
        <f>IFERROR(J198+K198,J198)</f>
        <v/>
      </c>
      <c r="M198" s="15">
        <f>IFERROR(IF(C198="CP",INT(G198*365),INT(G198*365)),"")</f>
        <v/>
      </c>
      <c r="N198" s="16">
        <f>IFERROR(L198*H198/100,"")</f>
        <v/>
      </c>
    </row>
    <row r="199" ht="18" customHeight="1">
      <c r="B199" s="8" t="n"/>
      <c r="C199" s="9" t="n"/>
      <c r="D199" s="9" t="n"/>
      <c r="E199" s="10" t="n"/>
      <c r="F199" s="9" t="n"/>
      <c r="G199" s="11" t="n"/>
      <c r="H199" s="12" t="n"/>
      <c r="I199" s="13" t="n"/>
      <c r="J199" s="11" t="n"/>
      <c r="K199" s="11" t="n"/>
      <c r="L199" s="14">
        <f>IFERROR(J199+K199,J199)</f>
        <v/>
      </c>
      <c r="M199" s="15">
        <f>IFERROR(IF(C199="CP",INT(G199*365),INT(G199*365)),"")</f>
        <v/>
      </c>
      <c r="N199" s="16">
        <f>IFERROR(L199*H199/100,"")</f>
        <v/>
      </c>
    </row>
    <row r="200" ht="18" customHeight="1">
      <c r="B200" s="8" t="n"/>
      <c r="C200" s="9" t="n"/>
      <c r="D200" s="9" t="n"/>
      <c r="E200" s="10" t="n"/>
      <c r="F200" s="9" t="n"/>
      <c r="G200" s="11" t="n"/>
      <c r="H200" s="12" t="n"/>
      <c r="I200" s="13" t="n"/>
      <c r="J200" s="11" t="n"/>
      <c r="K200" s="11" t="n"/>
      <c r="L200" s="14">
        <f>IFERROR(J200+K200,J200)</f>
        <v/>
      </c>
      <c r="M200" s="15">
        <f>IFERROR(IF(C200="CP",INT(G200*365),INT(G200*365)),"")</f>
        <v/>
      </c>
      <c r="N200" s="16">
        <f>IFERROR(L200*H200/100,"")</f>
        <v/>
      </c>
    </row>
    <row r="201" ht="18" customHeight="1">
      <c r="B201" s="8" t="n"/>
      <c r="C201" s="9" t="n"/>
      <c r="D201" s="9" t="n"/>
      <c r="E201" s="10" t="n"/>
      <c r="F201" s="9" t="n"/>
      <c r="G201" s="11" t="n"/>
      <c r="H201" s="12" t="n"/>
      <c r="I201" s="13" t="n"/>
      <c r="J201" s="11" t="n"/>
      <c r="K201" s="11" t="n"/>
      <c r="L201" s="14">
        <f>IFERROR(J201+K201,J201)</f>
        <v/>
      </c>
      <c r="M201" s="15">
        <f>IFERROR(IF(C201="CP",INT(G201*365),INT(G201*365)),"")</f>
        <v/>
      </c>
      <c r="N201" s="16">
        <f>IFERROR(L201*H201/100,"")</f>
        <v/>
      </c>
    </row>
    <row r="202" ht="18" customHeight="1">
      <c r="B202" s="8" t="n"/>
      <c r="C202" s="9" t="n"/>
      <c r="D202" s="9" t="n"/>
      <c r="E202" s="10" t="n"/>
      <c r="F202" s="9" t="n"/>
      <c r="G202" s="11" t="n"/>
      <c r="H202" s="12" t="n"/>
      <c r="I202" s="13" t="n"/>
      <c r="J202" s="11" t="n"/>
      <c r="K202" s="11" t="n"/>
      <c r="L202" s="14">
        <f>IFERROR(J202+K202,J202)</f>
        <v/>
      </c>
      <c r="M202" s="15">
        <f>IFERROR(IF(C202="CP",INT(G202*365),INT(G202*365)),"")</f>
        <v/>
      </c>
      <c r="N202" s="16">
        <f>IFERROR(L202*H202/100,"")</f>
        <v/>
      </c>
    </row>
    <row r="203" ht="18" customHeight="1">
      <c r="B203" s="8" t="n"/>
      <c r="C203" s="9" t="n"/>
      <c r="D203" s="9" t="n"/>
      <c r="E203" s="10" t="n"/>
      <c r="F203" s="9" t="n"/>
      <c r="G203" s="11" t="n"/>
      <c r="H203" s="12" t="n"/>
      <c r="I203" s="13" t="n"/>
      <c r="J203" s="11" t="n"/>
      <c r="K203" s="11" t="n"/>
      <c r="L203" s="14">
        <f>IFERROR(J203+K203,J203)</f>
        <v/>
      </c>
      <c r="M203" s="15">
        <f>IFERROR(IF(C203="CP",INT(G203*365),INT(G203*365)),"")</f>
        <v/>
      </c>
      <c r="N203" s="16">
        <f>IFERROR(L203*H203/100,"")</f>
        <v/>
      </c>
    </row>
    <row r="204" ht="18" customHeight="1">
      <c r="B204" s="8" t="n"/>
      <c r="C204" s="9" t="n"/>
      <c r="D204" s="9" t="n"/>
      <c r="E204" s="10" t="n"/>
      <c r="F204" s="9" t="n"/>
      <c r="G204" s="11" t="n"/>
      <c r="H204" s="12" t="n"/>
      <c r="I204" s="13" t="n"/>
      <c r="J204" s="11" t="n"/>
      <c r="K204" s="11" t="n"/>
      <c r="L204" s="14">
        <f>IFERROR(J204+K204,J204)</f>
        <v/>
      </c>
      <c r="M204" s="15">
        <f>IFERROR(IF(C204="CP",INT(G204*365),INT(G204*365)),"")</f>
        <v/>
      </c>
      <c r="N204" s="16">
        <f>IFERROR(L204*H204/100,"")</f>
        <v/>
      </c>
    </row>
    <row r="205" ht="18" customHeight="1">
      <c r="B205" s="8" t="n"/>
      <c r="C205" s="9" t="n"/>
      <c r="D205" s="9" t="n"/>
      <c r="E205" s="10" t="n"/>
      <c r="F205" s="9" t="n"/>
      <c r="G205" s="11" t="n"/>
      <c r="H205" s="12" t="n"/>
      <c r="I205" s="13" t="n"/>
      <c r="J205" s="11" t="n"/>
      <c r="K205" s="11" t="n"/>
      <c r="L205" s="14">
        <f>IFERROR(J205+K205,J205)</f>
        <v/>
      </c>
      <c r="M205" s="15">
        <f>IFERROR(IF(C205="CP",INT(G205*365),INT(G205*365)),"")</f>
        <v/>
      </c>
      <c r="N205" s="16">
        <f>IFERROR(L205*H205/100,"")</f>
        <v/>
      </c>
    </row>
    <row r="206" ht="18" customHeight="1">
      <c r="B206" s="8" t="n"/>
      <c r="C206" s="9" t="n"/>
      <c r="D206" s="9" t="n"/>
      <c r="E206" s="10" t="n"/>
      <c r="F206" s="9" t="n"/>
      <c r="G206" s="11" t="n"/>
      <c r="H206" s="12" t="n"/>
      <c r="I206" s="13" t="n"/>
      <c r="J206" s="11" t="n"/>
      <c r="K206" s="11" t="n"/>
      <c r="L206" s="14">
        <f>IFERROR(J206+K206,J206)</f>
        <v/>
      </c>
      <c r="M206" s="15">
        <f>IFERROR(IF(C206="CP",INT(G206*365),INT(G206*365)),"")</f>
        <v/>
      </c>
      <c r="N206" s="16">
        <f>IFERROR(L206*H206/100,"")</f>
        <v/>
      </c>
    </row>
    <row r="207" ht="18" customHeight="1">
      <c r="B207" s="8" t="n"/>
      <c r="C207" s="9" t="n"/>
      <c r="D207" s="9" t="n"/>
      <c r="E207" s="10" t="n"/>
      <c r="F207" s="9" t="n"/>
      <c r="G207" s="11" t="n"/>
      <c r="H207" s="12" t="n"/>
      <c r="I207" s="13" t="n"/>
      <c r="J207" s="11" t="n"/>
      <c r="K207" s="11" t="n"/>
      <c r="L207" s="14">
        <f>IFERROR(J207+K207,J207)</f>
        <v/>
      </c>
      <c r="M207" s="15">
        <f>IFERROR(IF(C207="CP",INT(G207*365),INT(G207*365)),"")</f>
        <v/>
      </c>
      <c r="N207" s="16">
        <f>IFERROR(L207*H207/100,"")</f>
        <v/>
      </c>
    </row>
    <row r="208" ht="18" customHeight="1">
      <c r="B208" s="8" t="n"/>
      <c r="C208" s="9" t="n"/>
      <c r="D208" s="9" t="n"/>
      <c r="E208" s="10" t="n"/>
      <c r="F208" s="9" t="n"/>
      <c r="G208" s="11" t="n"/>
      <c r="H208" s="12" t="n"/>
      <c r="I208" s="13" t="n"/>
      <c r="J208" s="11" t="n"/>
      <c r="K208" s="11" t="n"/>
      <c r="L208" s="14">
        <f>IFERROR(J208+K208,J208)</f>
        <v/>
      </c>
      <c r="M208" s="15">
        <f>IFERROR(IF(C208="CP",INT(G208*365),INT(G208*365)),"")</f>
        <v/>
      </c>
      <c r="N208" s="16">
        <f>IFERROR(L208*H208/100,"")</f>
        <v/>
      </c>
    </row>
    <row r="209" ht="18" customHeight="1">
      <c r="B209" s="8" t="n"/>
      <c r="C209" s="9" t="n"/>
      <c r="D209" s="9" t="n"/>
      <c r="E209" s="10" t="n"/>
      <c r="F209" s="9" t="n"/>
      <c r="G209" s="11" t="n"/>
      <c r="H209" s="12" t="n"/>
      <c r="I209" s="13" t="n"/>
      <c r="J209" s="11" t="n"/>
      <c r="K209" s="11" t="n"/>
      <c r="L209" s="14">
        <f>IFERROR(J209+K209,J209)</f>
        <v/>
      </c>
      <c r="M209" s="15">
        <f>IFERROR(IF(C209="CP",INT(G209*365),INT(G209*365)),"")</f>
        <v/>
      </c>
      <c r="N209" s="16">
        <f>IFERROR(L209*H209/100,"")</f>
        <v/>
      </c>
    </row>
    <row r="210" ht="18" customHeight="1">
      <c r="B210" s="8" t="n"/>
      <c r="C210" s="9" t="n"/>
      <c r="D210" s="9" t="n"/>
      <c r="E210" s="10" t="n"/>
      <c r="F210" s="9" t="n"/>
      <c r="G210" s="11" t="n"/>
      <c r="H210" s="12" t="n"/>
      <c r="I210" s="13" t="n"/>
      <c r="J210" s="11" t="n"/>
      <c r="K210" s="11" t="n"/>
      <c r="L210" s="14">
        <f>IFERROR(J210+K210,J210)</f>
        <v/>
      </c>
      <c r="M210" s="15">
        <f>IFERROR(IF(C210="CP",INT(G210*365),INT(G210*365)),"")</f>
        <v/>
      </c>
      <c r="N210" s="16">
        <f>IFERROR(L210*H210/100,"")</f>
        <v/>
      </c>
    </row>
    <row r="211" ht="18" customHeight="1">
      <c r="B211" s="8" t="n"/>
      <c r="C211" s="9" t="n"/>
      <c r="D211" s="9" t="n"/>
      <c r="E211" s="10" t="n"/>
      <c r="F211" s="9" t="n"/>
      <c r="G211" s="11" t="n"/>
      <c r="H211" s="12" t="n"/>
      <c r="I211" s="13" t="n"/>
      <c r="J211" s="11" t="n"/>
      <c r="K211" s="11" t="n"/>
      <c r="L211" s="14">
        <f>IFERROR(J211+K211,J211)</f>
        <v/>
      </c>
      <c r="M211" s="15">
        <f>IFERROR(IF(C211="CP",INT(G211*365),INT(G211*365)),"")</f>
        <v/>
      </c>
      <c r="N211" s="16">
        <f>IFERROR(L211*H211/100,"")</f>
        <v/>
      </c>
    </row>
    <row r="212" ht="18" customHeight="1">
      <c r="B212" s="8" t="n"/>
      <c r="C212" s="9" t="n"/>
      <c r="D212" s="9" t="n"/>
      <c r="E212" s="10" t="n"/>
      <c r="F212" s="9" t="n"/>
      <c r="G212" s="11" t="n"/>
      <c r="H212" s="12" t="n"/>
      <c r="I212" s="13" t="n"/>
      <c r="J212" s="11" t="n"/>
      <c r="K212" s="11" t="n"/>
      <c r="L212" s="14">
        <f>IFERROR(J212+K212,J212)</f>
        <v/>
      </c>
      <c r="M212" s="15">
        <f>IFERROR(IF(C212="CP",INT(G212*365),INT(G212*365)),"")</f>
        <v/>
      </c>
      <c r="N212" s="16">
        <f>IFERROR(L212*H212/100,"")</f>
        <v/>
      </c>
    </row>
    <row r="213" ht="18" customHeight="1">
      <c r="B213" s="8" t="n"/>
      <c r="C213" s="9" t="n"/>
      <c r="D213" s="9" t="n"/>
      <c r="E213" s="10" t="n"/>
      <c r="F213" s="9" t="n"/>
      <c r="G213" s="11" t="n"/>
      <c r="H213" s="12" t="n"/>
      <c r="I213" s="13" t="n"/>
      <c r="J213" s="11" t="n"/>
      <c r="K213" s="11" t="n"/>
      <c r="L213" s="14">
        <f>IFERROR(J213+K213,J213)</f>
        <v/>
      </c>
      <c r="M213" s="15">
        <f>IFERROR(IF(C213="CP",INT(G213*365),INT(G213*365)),"")</f>
        <v/>
      </c>
      <c r="N213" s="16">
        <f>IFERROR(L213*H213/100,"")</f>
        <v/>
      </c>
    </row>
    <row r="214" ht="18" customHeight="1">
      <c r="B214" s="8" t="n"/>
      <c r="C214" s="9" t="n"/>
      <c r="D214" s="9" t="n"/>
      <c r="E214" s="10" t="n"/>
      <c r="F214" s="9" t="n"/>
      <c r="G214" s="11" t="n"/>
      <c r="H214" s="12" t="n"/>
      <c r="I214" s="13" t="n"/>
      <c r="J214" s="11" t="n"/>
      <c r="K214" s="11" t="n"/>
      <c r="L214" s="14">
        <f>IFERROR(J214+K214,J214)</f>
        <v/>
      </c>
      <c r="M214" s="15">
        <f>IFERROR(IF(C214="CP",INT(G214*365),INT(G214*365)),"")</f>
        <v/>
      </c>
      <c r="N214" s="16">
        <f>IFERROR(L214*H214/100,"")</f>
        <v/>
      </c>
    </row>
    <row r="215" ht="18" customHeight="1">
      <c r="B215" s="8" t="n"/>
      <c r="C215" s="9" t="n"/>
      <c r="D215" s="9" t="n"/>
      <c r="E215" s="10" t="n"/>
      <c r="F215" s="9" t="n"/>
      <c r="G215" s="11" t="n"/>
      <c r="H215" s="12" t="n"/>
      <c r="I215" s="13" t="n"/>
      <c r="J215" s="11" t="n"/>
      <c r="K215" s="11" t="n"/>
      <c r="L215" s="14">
        <f>IFERROR(J215+K215,J215)</f>
        <v/>
      </c>
      <c r="M215" s="15">
        <f>IFERROR(IF(C215="CP",INT(G215*365),INT(G215*365)),"")</f>
        <v/>
      </c>
      <c r="N215" s="16">
        <f>IFERROR(L215*H215/100,"")</f>
        <v/>
      </c>
    </row>
    <row r="216" ht="18" customHeight="1">
      <c r="B216" s="8" t="n"/>
      <c r="C216" s="9" t="n"/>
      <c r="D216" s="9" t="n"/>
      <c r="E216" s="10" t="n"/>
      <c r="F216" s="9" t="n"/>
      <c r="G216" s="11" t="n"/>
      <c r="H216" s="12" t="n"/>
      <c r="I216" s="13" t="n"/>
      <c r="J216" s="11" t="n"/>
      <c r="K216" s="11" t="n"/>
      <c r="L216" s="14">
        <f>IFERROR(J216+K216,J216)</f>
        <v/>
      </c>
      <c r="M216" s="15">
        <f>IFERROR(IF(C216="CP",INT(G216*365),INT(G216*365)),"")</f>
        <v/>
      </c>
      <c r="N216" s="16">
        <f>IFERROR(L216*H216/100,"")</f>
        <v/>
      </c>
    </row>
    <row r="217" ht="18" customHeight="1">
      <c r="B217" s="8" t="n"/>
      <c r="C217" s="9" t="n"/>
      <c r="D217" s="9" t="n"/>
      <c r="E217" s="10" t="n"/>
      <c r="F217" s="9" t="n"/>
      <c r="G217" s="11" t="n"/>
      <c r="H217" s="12" t="n"/>
      <c r="I217" s="13" t="n"/>
      <c r="J217" s="11" t="n"/>
      <c r="K217" s="11" t="n"/>
      <c r="L217" s="14">
        <f>IFERROR(J217+K217,J217)</f>
        <v/>
      </c>
      <c r="M217" s="15">
        <f>IFERROR(IF(C217="CP",INT(G217*365),INT(G217*365)),"")</f>
        <v/>
      </c>
      <c r="N217" s="16">
        <f>IFERROR(L217*H217/100,"")</f>
        <v/>
      </c>
    </row>
    <row r="218" ht="18" customHeight="1">
      <c r="B218" s="8" t="n"/>
      <c r="C218" s="9" t="n"/>
      <c r="D218" s="9" t="n"/>
      <c r="E218" s="10" t="n"/>
      <c r="F218" s="9" t="n"/>
      <c r="G218" s="11" t="n"/>
      <c r="H218" s="12" t="n"/>
      <c r="I218" s="13" t="n"/>
      <c r="J218" s="11" t="n"/>
      <c r="K218" s="11" t="n"/>
      <c r="L218" s="14">
        <f>IFERROR(J218+K218,J218)</f>
        <v/>
      </c>
      <c r="M218" s="15">
        <f>IFERROR(IF(C218="CP",INT(G218*365),INT(G218*365)),"")</f>
        <v/>
      </c>
      <c r="N218" s="16">
        <f>IFERROR(L218*H218/100,"")</f>
        <v/>
      </c>
    </row>
    <row r="219" ht="18" customHeight="1">
      <c r="B219" s="8" t="n"/>
      <c r="C219" s="9" t="n"/>
      <c r="D219" s="9" t="n"/>
      <c r="E219" s="10" t="n"/>
      <c r="F219" s="9" t="n"/>
      <c r="G219" s="11" t="n"/>
      <c r="H219" s="12" t="n"/>
      <c r="I219" s="13" t="n"/>
      <c r="J219" s="11" t="n"/>
      <c r="K219" s="11" t="n"/>
      <c r="L219" s="14">
        <f>IFERROR(J219+K219,J219)</f>
        <v/>
      </c>
      <c r="M219" s="15">
        <f>IFERROR(IF(C219="CP",INT(G219*365),INT(G219*365)),"")</f>
        <v/>
      </c>
      <c r="N219" s="16">
        <f>IFERROR(L219*H219/100,"")</f>
        <v/>
      </c>
    </row>
    <row r="220" ht="18" customHeight="1">
      <c r="B220" s="8" t="n"/>
      <c r="C220" s="9" t="n"/>
      <c r="D220" s="9" t="n"/>
      <c r="E220" s="10" t="n"/>
      <c r="F220" s="9" t="n"/>
      <c r="G220" s="11" t="n"/>
      <c r="H220" s="12" t="n"/>
      <c r="I220" s="13" t="n"/>
      <c r="J220" s="11" t="n"/>
      <c r="K220" s="11" t="n"/>
      <c r="L220" s="14">
        <f>IFERROR(J220+K220,J220)</f>
        <v/>
      </c>
      <c r="M220" s="15">
        <f>IFERROR(IF(C220="CP",INT(G220*365),INT(G220*365)),"")</f>
        <v/>
      </c>
      <c r="N220" s="16">
        <f>IFERROR(L220*H220/100,"")</f>
        <v/>
      </c>
    </row>
    <row r="221" ht="18" customHeight="1">
      <c r="B221" s="8" t="n"/>
      <c r="C221" s="9" t="n"/>
      <c r="D221" s="9" t="n"/>
      <c r="E221" s="10" t="n"/>
      <c r="F221" s="9" t="n"/>
      <c r="G221" s="11" t="n"/>
      <c r="H221" s="12" t="n"/>
      <c r="I221" s="13" t="n"/>
      <c r="J221" s="11" t="n"/>
      <c r="K221" s="11" t="n"/>
      <c r="L221" s="14">
        <f>IFERROR(J221+K221,J221)</f>
        <v/>
      </c>
      <c r="M221" s="15">
        <f>IFERROR(IF(C221="CP",INT(G221*365),INT(G221*365)),"")</f>
        <v/>
      </c>
      <c r="N221" s="16">
        <f>IFERROR(L221*H221/100,"")</f>
        <v/>
      </c>
    </row>
    <row r="222" ht="18" customHeight="1">
      <c r="B222" s="8" t="n"/>
      <c r="C222" s="9" t="n"/>
      <c r="D222" s="9" t="n"/>
      <c r="E222" s="10" t="n"/>
      <c r="F222" s="9" t="n"/>
      <c r="G222" s="11" t="n"/>
      <c r="H222" s="12" t="n"/>
      <c r="I222" s="13" t="n"/>
      <c r="J222" s="11" t="n"/>
      <c r="K222" s="11" t="n"/>
      <c r="L222" s="14">
        <f>IFERROR(J222+K222,J222)</f>
        <v/>
      </c>
      <c r="M222" s="15">
        <f>IFERROR(IF(C222="CP",INT(G222*365),INT(G222*365)),"")</f>
        <v/>
      </c>
      <c r="N222" s="16">
        <f>IFERROR(L222*H222/100,"")</f>
        <v/>
      </c>
    </row>
    <row r="223" ht="18" customHeight="1">
      <c r="B223" s="8" t="n"/>
      <c r="C223" s="9" t="n"/>
      <c r="D223" s="9" t="n"/>
      <c r="E223" s="10" t="n"/>
      <c r="F223" s="9" t="n"/>
      <c r="G223" s="11" t="n"/>
      <c r="H223" s="12" t="n"/>
      <c r="I223" s="13" t="n"/>
      <c r="J223" s="11" t="n"/>
      <c r="K223" s="11" t="n"/>
      <c r="L223" s="14">
        <f>IFERROR(J223+K223,J223)</f>
        <v/>
      </c>
      <c r="M223" s="15">
        <f>IFERROR(IF(C223="CP",INT(G223*365),INT(G223*365)),"")</f>
        <v/>
      </c>
      <c r="N223" s="16">
        <f>IFERROR(L223*H223/100,"")</f>
        <v/>
      </c>
    </row>
    <row r="224" ht="18" customHeight="1">
      <c r="B224" s="8" t="n"/>
      <c r="C224" s="9" t="n"/>
      <c r="D224" s="9" t="n"/>
      <c r="E224" s="10" t="n"/>
      <c r="F224" s="9" t="n"/>
      <c r="G224" s="11" t="n"/>
      <c r="H224" s="12" t="n"/>
      <c r="I224" s="13" t="n"/>
      <c r="J224" s="11" t="n"/>
      <c r="K224" s="11" t="n"/>
      <c r="L224" s="14">
        <f>IFERROR(J224+K224,J224)</f>
        <v/>
      </c>
      <c r="M224" s="15">
        <f>IFERROR(IF(C224="CP",INT(G224*365),INT(G224*365)),"")</f>
        <v/>
      </c>
      <c r="N224" s="16">
        <f>IFERROR(L224*H224/100,"")</f>
        <v/>
      </c>
    </row>
    <row r="225" ht="18" customHeight="1">
      <c r="B225" s="8" t="n"/>
      <c r="C225" s="9" t="n"/>
      <c r="D225" s="9" t="n"/>
      <c r="E225" s="10" t="n"/>
      <c r="F225" s="9" t="n"/>
      <c r="G225" s="11" t="n"/>
      <c r="H225" s="12" t="n"/>
      <c r="I225" s="13" t="n"/>
      <c r="J225" s="11" t="n"/>
      <c r="K225" s="11" t="n"/>
      <c r="L225" s="14">
        <f>IFERROR(J225+K225,J225)</f>
        <v/>
      </c>
      <c r="M225" s="15">
        <f>IFERROR(IF(C225="CP",INT(G225*365),INT(G225*365)),"")</f>
        <v/>
      </c>
      <c r="N225" s="16">
        <f>IFERROR(L225*H225/100,"")</f>
        <v/>
      </c>
    </row>
    <row r="226" ht="18" customHeight="1">
      <c r="B226" s="8" t="n"/>
      <c r="C226" s="9" t="n"/>
      <c r="D226" s="9" t="n"/>
      <c r="E226" s="10" t="n"/>
      <c r="F226" s="9" t="n"/>
      <c r="G226" s="11" t="n"/>
      <c r="H226" s="12" t="n"/>
      <c r="I226" s="13" t="n"/>
      <c r="J226" s="11" t="n"/>
      <c r="K226" s="11" t="n"/>
      <c r="L226" s="14">
        <f>IFERROR(J226+K226,J226)</f>
        <v/>
      </c>
      <c r="M226" s="15">
        <f>IFERROR(IF(C226="CP",INT(G226*365),INT(G226*365)),"")</f>
        <v/>
      </c>
      <c r="N226" s="16">
        <f>IFERROR(L226*H226/100,"")</f>
        <v/>
      </c>
    </row>
    <row r="227" ht="18" customHeight="1">
      <c r="B227" s="8" t="n"/>
      <c r="C227" s="9" t="n"/>
      <c r="D227" s="9" t="n"/>
      <c r="E227" s="10" t="n"/>
      <c r="F227" s="9" t="n"/>
      <c r="G227" s="11" t="n"/>
      <c r="H227" s="12" t="n"/>
      <c r="I227" s="13" t="n"/>
      <c r="J227" s="11" t="n"/>
      <c r="K227" s="11" t="n"/>
      <c r="L227" s="14">
        <f>IFERROR(J227+K227,J227)</f>
        <v/>
      </c>
      <c r="M227" s="15">
        <f>IFERROR(IF(C227="CP",INT(G227*365),INT(G227*365)),"")</f>
        <v/>
      </c>
      <c r="N227" s="16">
        <f>IFERROR(L227*H227/100,"")</f>
        <v/>
      </c>
    </row>
    <row r="228" ht="18" customHeight="1">
      <c r="B228" s="8" t="n"/>
      <c r="C228" s="9" t="n"/>
      <c r="D228" s="9" t="n"/>
      <c r="E228" s="10" t="n"/>
      <c r="F228" s="9" t="n"/>
      <c r="G228" s="11" t="n"/>
      <c r="H228" s="12" t="n"/>
      <c r="I228" s="13" t="n"/>
      <c r="J228" s="11" t="n"/>
      <c r="K228" s="11" t="n"/>
      <c r="L228" s="14">
        <f>IFERROR(J228+K228,J228)</f>
        <v/>
      </c>
      <c r="M228" s="15">
        <f>IFERROR(IF(C228="CP",INT(G228*365),INT(G228*365)),"")</f>
        <v/>
      </c>
      <c r="N228" s="16">
        <f>IFERROR(L228*H228/100,"")</f>
        <v/>
      </c>
    </row>
    <row r="229" ht="18" customHeight="1">
      <c r="B229" s="8" t="n"/>
      <c r="C229" s="9" t="n"/>
      <c r="D229" s="9" t="n"/>
      <c r="E229" s="10" t="n"/>
      <c r="F229" s="9" t="n"/>
      <c r="G229" s="11" t="n"/>
      <c r="H229" s="12" t="n"/>
      <c r="I229" s="13" t="n"/>
      <c r="J229" s="11" t="n"/>
      <c r="K229" s="11" t="n"/>
      <c r="L229" s="14">
        <f>IFERROR(J229+K229,J229)</f>
        <v/>
      </c>
      <c r="M229" s="15">
        <f>IFERROR(IF(C229="CP",INT(G229*365),INT(G229*365)),"")</f>
        <v/>
      </c>
      <c r="N229" s="16">
        <f>IFERROR(L229*H229/100,"")</f>
        <v/>
      </c>
    </row>
    <row r="230" ht="18" customHeight="1">
      <c r="B230" s="8" t="n"/>
      <c r="C230" s="9" t="n"/>
      <c r="D230" s="9" t="n"/>
      <c r="E230" s="10" t="n"/>
      <c r="F230" s="9" t="n"/>
      <c r="G230" s="11" t="n"/>
      <c r="H230" s="12" t="n"/>
      <c r="I230" s="13" t="n"/>
      <c r="J230" s="11" t="n"/>
      <c r="K230" s="11" t="n"/>
      <c r="L230" s="14">
        <f>IFERROR(J230+K230,J230)</f>
        <v/>
      </c>
      <c r="M230" s="15">
        <f>IFERROR(IF(C230="CP",INT(G230*365),INT(G230*365)),"")</f>
        <v/>
      </c>
      <c r="N230" s="16">
        <f>IFERROR(L230*H230/100,"")</f>
        <v/>
      </c>
    </row>
    <row r="231" ht="18" customHeight="1">
      <c r="B231" s="8" t="n"/>
      <c r="C231" s="9" t="n"/>
      <c r="D231" s="9" t="n"/>
      <c r="E231" s="10" t="n"/>
      <c r="F231" s="9" t="n"/>
      <c r="G231" s="11" t="n"/>
      <c r="H231" s="12" t="n"/>
      <c r="I231" s="13" t="n"/>
      <c r="J231" s="11" t="n"/>
      <c r="K231" s="11" t="n"/>
      <c r="L231" s="14">
        <f>IFERROR(J231+K231,J231)</f>
        <v/>
      </c>
      <c r="M231" s="15">
        <f>IFERROR(IF(C231="CP",INT(G231*365),INT(G231*365)),"")</f>
        <v/>
      </c>
      <c r="N231" s="16">
        <f>IFERROR(L231*H231/100,"")</f>
        <v/>
      </c>
    </row>
    <row r="232" ht="18" customHeight="1">
      <c r="B232" s="8" t="n"/>
      <c r="C232" s="9" t="n"/>
      <c r="D232" s="9" t="n"/>
      <c r="E232" s="10" t="n"/>
      <c r="F232" s="9" t="n"/>
      <c r="G232" s="11" t="n"/>
      <c r="H232" s="12" t="n"/>
      <c r="I232" s="13" t="n"/>
      <c r="J232" s="11" t="n"/>
      <c r="K232" s="11" t="n"/>
      <c r="L232" s="14">
        <f>IFERROR(J232+K232,J232)</f>
        <v/>
      </c>
      <c r="M232" s="15">
        <f>IFERROR(IF(C232="CP",INT(G232*365),INT(G232*365)),"")</f>
        <v/>
      </c>
      <c r="N232" s="16">
        <f>IFERROR(L232*H232/100,"")</f>
        <v/>
      </c>
    </row>
    <row r="233" ht="18" customHeight="1">
      <c r="B233" s="8" t="n"/>
      <c r="C233" s="9" t="n"/>
      <c r="D233" s="9" t="n"/>
      <c r="E233" s="10" t="n"/>
      <c r="F233" s="9" t="n"/>
      <c r="G233" s="11" t="n"/>
      <c r="H233" s="12" t="n"/>
      <c r="I233" s="13" t="n"/>
      <c r="J233" s="11" t="n"/>
      <c r="K233" s="11" t="n"/>
      <c r="L233" s="14">
        <f>IFERROR(J233+K233,J233)</f>
        <v/>
      </c>
      <c r="M233" s="15">
        <f>IFERROR(IF(C233="CP",INT(G233*365),INT(G233*365)),"")</f>
        <v/>
      </c>
      <c r="N233" s="16">
        <f>IFERROR(L233*H233/100,"")</f>
        <v/>
      </c>
    </row>
    <row r="234" ht="18" customHeight="1">
      <c r="B234" s="8" t="n"/>
      <c r="C234" s="9" t="n"/>
      <c r="D234" s="9" t="n"/>
      <c r="E234" s="10" t="n"/>
      <c r="F234" s="9" t="n"/>
      <c r="G234" s="11" t="n"/>
      <c r="H234" s="12" t="n"/>
      <c r="I234" s="13" t="n"/>
      <c r="J234" s="11" t="n"/>
      <c r="K234" s="11" t="n"/>
      <c r="L234" s="14">
        <f>IFERROR(J234+K234,J234)</f>
        <v/>
      </c>
      <c r="M234" s="15">
        <f>IFERROR(IF(C234="CP",INT(G234*365),INT(G234*365)),"")</f>
        <v/>
      </c>
      <c r="N234" s="16">
        <f>IFERROR(L234*H234/100,"")</f>
        <v/>
      </c>
    </row>
    <row r="235" ht="18" customHeight="1">
      <c r="B235" s="8" t="n"/>
      <c r="C235" s="9" t="n"/>
      <c r="D235" s="9" t="n"/>
      <c r="E235" s="10" t="n"/>
      <c r="F235" s="9" t="n"/>
      <c r="G235" s="11" t="n"/>
      <c r="H235" s="12" t="n"/>
      <c r="I235" s="13" t="n"/>
      <c r="J235" s="11" t="n"/>
      <c r="K235" s="11" t="n"/>
      <c r="L235" s="14">
        <f>IFERROR(J235+K235,J235)</f>
        <v/>
      </c>
      <c r="M235" s="15">
        <f>IFERROR(IF(C235="CP",INT(G235*365),INT(G235*365)),"")</f>
        <v/>
      </c>
      <c r="N235" s="16">
        <f>IFERROR(L235*H235/100,"")</f>
        <v/>
      </c>
    </row>
    <row r="236" ht="18" customHeight="1">
      <c r="B236" s="8" t="n"/>
      <c r="C236" s="9" t="n"/>
      <c r="D236" s="9" t="n"/>
      <c r="E236" s="10" t="n"/>
      <c r="F236" s="9" t="n"/>
      <c r="G236" s="11" t="n"/>
      <c r="H236" s="12" t="n"/>
      <c r="I236" s="13" t="n"/>
      <c r="J236" s="11" t="n"/>
      <c r="K236" s="11" t="n"/>
      <c r="L236" s="14">
        <f>IFERROR(J236+K236,J236)</f>
        <v/>
      </c>
      <c r="M236" s="15">
        <f>IFERROR(IF(C236="CP",INT(G236*365),INT(G236*365)),"")</f>
        <v/>
      </c>
      <c r="N236" s="16">
        <f>IFERROR(L236*H236/100,"")</f>
        <v/>
      </c>
    </row>
    <row r="237" ht="18" customHeight="1">
      <c r="B237" s="8" t="n"/>
      <c r="C237" s="9" t="n"/>
      <c r="D237" s="9" t="n"/>
      <c r="E237" s="10" t="n"/>
      <c r="F237" s="9" t="n"/>
      <c r="G237" s="11" t="n"/>
      <c r="H237" s="12" t="n"/>
      <c r="I237" s="13" t="n"/>
      <c r="J237" s="11" t="n"/>
      <c r="K237" s="11" t="n"/>
      <c r="L237" s="14">
        <f>IFERROR(J237+K237,J237)</f>
        <v/>
      </c>
      <c r="M237" s="15">
        <f>IFERROR(IF(C237="CP",INT(G237*365),INT(G237*365)),"")</f>
        <v/>
      </c>
      <c r="N237" s="16">
        <f>IFERROR(L237*H237/100,"")</f>
        <v/>
      </c>
    </row>
    <row r="238" ht="18" customHeight="1">
      <c r="B238" s="8" t="n"/>
      <c r="C238" s="9" t="n"/>
      <c r="D238" s="9" t="n"/>
      <c r="E238" s="10" t="n"/>
      <c r="F238" s="9" t="n"/>
      <c r="G238" s="11" t="n"/>
      <c r="H238" s="12" t="n"/>
      <c r="I238" s="13" t="n"/>
      <c r="J238" s="11" t="n"/>
      <c r="K238" s="11" t="n"/>
      <c r="L238" s="14">
        <f>IFERROR(J238+K238,J238)</f>
        <v/>
      </c>
      <c r="M238" s="15">
        <f>IFERROR(IF(C238="CP",INT(G238*365),INT(G238*365)),"")</f>
        <v/>
      </c>
      <c r="N238" s="16">
        <f>IFERROR(L238*H238/100,"")</f>
        <v/>
      </c>
    </row>
    <row r="239" ht="18" customHeight="1">
      <c r="B239" s="8" t="n"/>
      <c r="C239" s="9" t="n"/>
      <c r="D239" s="9" t="n"/>
      <c r="E239" s="10" t="n"/>
      <c r="F239" s="9" t="n"/>
      <c r="G239" s="11" t="n"/>
      <c r="H239" s="12" t="n"/>
      <c r="I239" s="13" t="n"/>
      <c r="J239" s="11" t="n"/>
      <c r="K239" s="11" t="n"/>
      <c r="L239" s="14">
        <f>IFERROR(J239+K239,J239)</f>
        <v/>
      </c>
      <c r="M239" s="15">
        <f>IFERROR(IF(C239="CP",INT(G239*365),INT(G239*365)),"")</f>
        <v/>
      </c>
      <c r="N239" s="16">
        <f>IFERROR(L239*H239/100,"")</f>
        <v/>
      </c>
    </row>
    <row r="240" ht="18" customHeight="1">
      <c r="B240" s="8" t="n"/>
      <c r="C240" s="9" t="n"/>
      <c r="D240" s="9" t="n"/>
      <c r="E240" s="10" t="n"/>
      <c r="F240" s="9" t="n"/>
      <c r="G240" s="11" t="n"/>
      <c r="H240" s="12" t="n"/>
      <c r="I240" s="13" t="n"/>
      <c r="J240" s="11" t="n"/>
      <c r="K240" s="11" t="n"/>
      <c r="L240" s="14">
        <f>IFERROR(J240+K240,J240)</f>
        <v/>
      </c>
      <c r="M240" s="15">
        <f>IFERROR(IF(C240="CP",INT(G240*365),INT(G240*365)),"")</f>
        <v/>
      </c>
      <c r="N240" s="16">
        <f>IFERROR(L240*H240/100,"")</f>
        <v/>
      </c>
    </row>
    <row r="241" ht="18" customHeight="1">
      <c r="B241" s="8" t="n"/>
      <c r="C241" s="9" t="n"/>
      <c r="D241" s="9" t="n"/>
      <c r="E241" s="10" t="n"/>
      <c r="F241" s="9" t="n"/>
      <c r="G241" s="11" t="n"/>
      <c r="H241" s="12" t="n"/>
      <c r="I241" s="13" t="n"/>
      <c r="J241" s="11" t="n"/>
      <c r="K241" s="11" t="n"/>
      <c r="L241" s="14">
        <f>IFERROR(J241+K241,J241)</f>
        <v/>
      </c>
      <c r="M241" s="15">
        <f>IFERROR(IF(C241="CP",INT(G241*365),INT(G241*365)),"")</f>
        <v/>
      </c>
      <c r="N241" s="16">
        <f>IFERROR(L241*H241/100,"")</f>
        <v/>
      </c>
    </row>
    <row r="242" ht="18" customHeight="1">
      <c r="B242" s="8" t="n"/>
      <c r="C242" s="9" t="n"/>
      <c r="D242" s="9" t="n"/>
      <c r="E242" s="10" t="n"/>
      <c r="F242" s="9" t="n"/>
      <c r="G242" s="11" t="n"/>
      <c r="H242" s="12" t="n"/>
      <c r="I242" s="13" t="n"/>
      <c r="J242" s="11" t="n"/>
      <c r="K242" s="11" t="n"/>
      <c r="L242" s="14">
        <f>IFERROR(J242+K242,J242)</f>
        <v/>
      </c>
      <c r="M242" s="15">
        <f>IFERROR(IF(C242="CP",INT(G242*365),INT(G242*365)),"")</f>
        <v/>
      </c>
      <c r="N242" s="16">
        <f>IFERROR(L242*H242/100,"")</f>
        <v/>
      </c>
    </row>
    <row r="243" ht="18" customHeight="1">
      <c r="B243" s="8" t="n"/>
      <c r="C243" s="9" t="n"/>
      <c r="D243" s="9" t="n"/>
      <c r="E243" s="10" t="n"/>
      <c r="F243" s="9" t="n"/>
      <c r="G243" s="11" t="n"/>
      <c r="H243" s="12" t="n"/>
      <c r="I243" s="13" t="n"/>
      <c r="J243" s="11" t="n"/>
      <c r="K243" s="11" t="n"/>
      <c r="L243" s="14">
        <f>IFERROR(J243+K243,J243)</f>
        <v/>
      </c>
      <c r="M243" s="15">
        <f>IFERROR(IF(C243="CP",INT(G243*365),INT(G243*365)),"")</f>
        <v/>
      </c>
      <c r="N243" s="16">
        <f>IFERROR(L243*H243/100,"")</f>
        <v/>
      </c>
    </row>
    <row r="244" ht="18" customHeight="1">
      <c r="B244" s="8" t="n"/>
      <c r="C244" s="9" t="n"/>
      <c r="D244" s="9" t="n"/>
      <c r="E244" s="10" t="n"/>
      <c r="F244" s="9" t="n"/>
      <c r="G244" s="11" t="n"/>
      <c r="H244" s="12" t="n"/>
      <c r="I244" s="13" t="n"/>
      <c r="J244" s="11" t="n"/>
      <c r="K244" s="11" t="n"/>
      <c r="L244" s="14">
        <f>IFERROR(J244+K244,J244)</f>
        <v/>
      </c>
      <c r="M244" s="15">
        <f>IFERROR(IF(C244="CP",INT(G244*365),INT(G244*365)),"")</f>
        <v/>
      </c>
      <c r="N244" s="16">
        <f>IFERROR(L244*H244/100,"")</f>
        <v/>
      </c>
    </row>
    <row r="245" ht="18" customHeight="1">
      <c r="B245" s="8" t="n"/>
      <c r="C245" s="9" t="n"/>
      <c r="D245" s="9" t="n"/>
      <c r="E245" s="10" t="n"/>
      <c r="F245" s="9" t="n"/>
      <c r="G245" s="11" t="n"/>
      <c r="H245" s="12" t="n"/>
      <c r="I245" s="13" t="n"/>
      <c r="J245" s="11" t="n"/>
      <c r="K245" s="11" t="n"/>
      <c r="L245" s="14">
        <f>IFERROR(J245+K245,J245)</f>
        <v/>
      </c>
      <c r="M245" s="15">
        <f>IFERROR(IF(C245="CP",INT(G245*365),INT(G245*365)),"")</f>
        <v/>
      </c>
      <c r="N245" s="16">
        <f>IFERROR(L245*H245/100,"")</f>
        <v/>
      </c>
    </row>
    <row r="246" ht="18" customHeight="1">
      <c r="B246" s="8" t="n"/>
      <c r="C246" s="9" t="n"/>
      <c r="D246" s="9" t="n"/>
      <c r="E246" s="10" t="n"/>
      <c r="F246" s="9" t="n"/>
      <c r="G246" s="11" t="n"/>
      <c r="H246" s="12" t="n"/>
      <c r="I246" s="13" t="n"/>
      <c r="J246" s="11" t="n"/>
      <c r="K246" s="11" t="n"/>
      <c r="L246" s="14">
        <f>IFERROR(J246+K246,J246)</f>
        <v/>
      </c>
      <c r="M246" s="15">
        <f>IFERROR(IF(C246="CP",INT(G246*365),INT(G246*365)),"")</f>
        <v/>
      </c>
      <c r="N246" s="16">
        <f>IFERROR(L246*H246/100,"")</f>
        <v/>
      </c>
    </row>
    <row r="247" ht="18" customHeight="1">
      <c r="B247" s="8" t="n"/>
      <c r="C247" s="9" t="n"/>
      <c r="D247" s="9" t="n"/>
      <c r="E247" s="10" t="n"/>
      <c r="F247" s="9" t="n"/>
      <c r="G247" s="11" t="n"/>
      <c r="H247" s="12" t="n"/>
      <c r="I247" s="13" t="n"/>
      <c r="J247" s="11" t="n"/>
      <c r="K247" s="11" t="n"/>
      <c r="L247" s="14">
        <f>IFERROR(J247+K247,J247)</f>
        <v/>
      </c>
      <c r="M247" s="15">
        <f>IFERROR(IF(C247="CP",INT(G247*365),INT(G247*365)),"")</f>
        <v/>
      </c>
      <c r="N247" s="16">
        <f>IFERROR(L247*H247/100,"")</f>
        <v/>
      </c>
    </row>
    <row r="248" ht="18" customHeight="1">
      <c r="B248" s="8" t="n"/>
      <c r="C248" s="9" t="n"/>
      <c r="D248" s="9" t="n"/>
      <c r="E248" s="10" t="n"/>
      <c r="F248" s="9" t="n"/>
      <c r="G248" s="11" t="n"/>
      <c r="H248" s="12" t="n"/>
      <c r="I248" s="13" t="n"/>
      <c r="J248" s="11" t="n"/>
      <c r="K248" s="11" t="n"/>
      <c r="L248" s="14">
        <f>IFERROR(J248+K248,J248)</f>
        <v/>
      </c>
      <c r="M248" s="15">
        <f>IFERROR(IF(C248="CP",INT(G248*365),INT(G248*365)),"")</f>
        <v/>
      </c>
      <c r="N248" s="16">
        <f>IFERROR(L248*H248/100,"")</f>
        <v/>
      </c>
    </row>
    <row r="249" ht="18" customHeight="1">
      <c r="B249" s="8" t="n"/>
      <c r="C249" s="9" t="n"/>
      <c r="D249" s="9" t="n"/>
      <c r="E249" s="10" t="n"/>
      <c r="F249" s="9" t="n"/>
      <c r="G249" s="11" t="n"/>
      <c r="H249" s="12" t="n"/>
      <c r="I249" s="13" t="n"/>
      <c r="J249" s="11" t="n"/>
      <c r="K249" s="11" t="n"/>
      <c r="L249" s="14">
        <f>IFERROR(J249+K249,J249)</f>
        <v/>
      </c>
      <c r="M249" s="15">
        <f>IFERROR(IF(C249="CP",INT(G249*365),INT(G249*365)),"")</f>
        <v/>
      </c>
      <c r="N249" s="16">
        <f>IFERROR(L249*H249/100,"")</f>
        <v/>
      </c>
    </row>
    <row r="250" ht="18" customHeight="1">
      <c r="B250" s="8" t="n"/>
      <c r="C250" s="9" t="n"/>
      <c r="D250" s="9" t="n"/>
      <c r="E250" s="10" t="n"/>
      <c r="F250" s="9" t="n"/>
      <c r="G250" s="11" t="n"/>
      <c r="H250" s="12" t="n"/>
      <c r="I250" s="13" t="n"/>
      <c r="J250" s="11" t="n"/>
      <c r="K250" s="11" t="n"/>
      <c r="L250" s="14">
        <f>IFERROR(J250+K250,J250)</f>
        <v/>
      </c>
      <c r="M250" s="15">
        <f>IFERROR(IF(C250="CP",INT(G250*365),INT(G250*365)),"")</f>
        <v/>
      </c>
      <c r="N250" s="16">
        <f>IFERROR(L250*H250/100,"")</f>
        <v/>
      </c>
    </row>
    <row r="251" ht="18" customHeight="1">
      <c r="B251" s="8" t="n"/>
      <c r="C251" s="9" t="n"/>
      <c r="D251" s="9" t="n"/>
      <c r="E251" s="10" t="n"/>
      <c r="F251" s="9" t="n"/>
      <c r="G251" s="11" t="n"/>
      <c r="H251" s="12" t="n"/>
      <c r="I251" s="13" t="n"/>
      <c r="J251" s="11" t="n"/>
      <c r="K251" s="11" t="n"/>
      <c r="L251" s="14">
        <f>IFERROR(J251+K251,J251)</f>
        <v/>
      </c>
      <c r="M251" s="15">
        <f>IFERROR(IF(C251="CP",INT(G251*365),INT(G251*365)),"")</f>
        <v/>
      </c>
      <c r="N251" s="16">
        <f>IFERROR(L251*H251/100,"")</f>
        <v/>
      </c>
    </row>
    <row r="252" ht="18" customHeight="1">
      <c r="B252" s="8" t="n"/>
      <c r="C252" s="9" t="n"/>
      <c r="D252" s="9" t="n"/>
      <c r="E252" s="10" t="n"/>
      <c r="F252" s="9" t="n"/>
      <c r="G252" s="11" t="n"/>
      <c r="H252" s="12" t="n"/>
      <c r="I252" s="13" t="n"/>
      <c r="J252" s="11" t="n"/>
      <c r="K252" s="11" t="n"/>
      <c r="L252" s="14">
        <f>IFERROR(J252+K252,J252)</f>
        <v/>
      </c>
      <c r="M252" s="15">
        <f>IFERROR(IF(C252="CP",INT(G252*365),INT(G252*365)),"")</f>
        <v/>
      </c>
      <c r="N252" s="16">
        <f>IFERROR(L252*H252/100,"")</f>
        <v/>
      </c>
    </row>
    <row r="253" ht="18" customHeight="1">
      <c r="B253" s="8" t="n"/>
      <c r="C253" s="9" t="n"/>
      <c r="D253" s="9" t="n"/>
      <c r="E253" s="10" t="n"/>
      <c r="F253" s="9" t="n"/>
      <c r="G253" s="11" t="n"/>
      <c r="H253" s="12" t="n"/>
      <c r="I253" s="13" t="n"/>
      <c r="J253" s="11" t="n"/>
      <c r="K253" s="11" t="n"/>
      <c r="L253" s="14">
        <f>IFERROR(J253+K253,J253)</f>
        <v/>
      </c>
      <c r="M253" s="15">
        <f>IFERROR(IF(C253="CP",INT(G253*365),INT(G253*365)),"")</f>
        <v/>
      </c>
      <c r="N253" s="16">
        <f>IFERROR(L253*H253/100,"")</f>
        <v/>
      </c>
    </row>
    <row r="254" ht="18" customHeight="1">
      <c r="B254" s="8" t="n"/>
      <c r="C254" s="9" t="n"/>
      <c r="D254" s="9" t="n"/>
      <c r="E254" s="10" t="n"/>
      <c r="F254" s="9" t="n"/>
      <c r="G254" s="11" t="n"/>
      <c r="H254" s="12" t="n"/>
      <c r="I254" s="13" t="n"/>
      <c r="J254" s="11" t="n"/>
      <c r="K254" s="11" t="n"/>
      <c r="L254" s="14">
        <f>IFERROR(J254+K254,J254)</f>
        <v/>
      </c>
      <c r="M254" s="15">
        <f>IFERROR(IF(C254="CP",INT(G254*365),INT(G254*365)),"")</f>
        <v/>
      </c>
      <c r="N254" s="16">
        <f>IFERROR(L254*H254/100,"")</f>
        <v/>
      </c>
    </row>
    <row r="255" ht="18" customHeight="1">
      <c r="B255" s="8" t="n"/>
      <c r="C255" s="9" t="n"/>
      <c r="D255" s="9" t="n"/>
      <c r="E255" s="10" t="n"/>
      <c r="F255" s="9" t="n"/>
      <c r="G255" s="11" t="n"/>
      <c r="H255" s="12" t="n"/>
      <c r="I255" s="13" t="n"/>
      <c r="J255" s="11" t="n"/>
      <c r="K255" s="11" t="n"/>
      <c r="L255" s="14">
        <f>IFERROR(J255+K255,J255)</f>
        <v/>
      </c>
      <c r="M255" s="15">
        <f>IFERROR(IF(C255="CP",INT(G255*365),INT(G255*365)),"")</f>
        <v/>
      </c>
      <c r="N255" s="16">
        <f>IFERROR(L255*H255/100,"")</f>
        <v/>
      </c>
    </row>
    <row r="256" ht="18" customHeight="1">
      <c r="B256" s="8" t="n"/>
      <c r="C256" s="9" t="n"/>
      <c r="D256" s="9" t="n"/>
      <c r="E256" s="10" t="n"/>
      <c r="F256" s="9" t="n"/>
      <c r="G256" s="11" t="n"/>
      <c r="H256" s="12" t="n"/>
      <c r="I256" s="13" t="n"/>
      <c r="J256" s="11" t="n"/>
      <c r="K256" s="11" t="n"/>
      <c r="L256" s="14">
        <f>IFERROR(J256+K256,J256)</f>
        <v/>
      </c>
      <c r="M256" s="15">
        <f>IFERROR(IF(C256="CP",INT(G256*365),INT(G256*365)),"")</f>
        <v/>
      </c>
      <c r="N256" s="16">
        <f>IFERROR(L256*H256/100,"")</f>
        <v/>
      </c>
    </row>
    <row r="257" ht="18" customHeight="1">
      <c r="B257" s="8" t="n"/>
      <c r="C257" s="9" t="n"/>
      <c r="D257" s="9" t="n"/>
      <c r="E257" s="10" t="n"/>
      <c r="F257" s="9" t="n"/>
      <c r="G257" s="11" t="n"/>
      <c r="H257" s="12" t="n"/>
      <c r="I257" s="13" t="n"/>
      <c r="J257" s="11" t="n"/>
      <c r="K257" s="11" t="n"/>
      <c r="L257" s="14">
        <f>IFERROR(J257+K257,J257)</f>
        <v/>
      </c>
      <c r="M257" s="15">
        <f>IFERROR(IF(C257="CP",INT(G257*365),INT(G257*365)),"")</f>
        <v/>
      </c>
      <c r="N257" s="16">
        <f>IFERROR(L257*H257/100,"")</f>
        <v/>
      </c>
    </row>
    <row r="258" ht="18" customHeight="1">
      <c r="B258" s="8" t="n"/>
      <c r="C258" s="9" t="n"/>
      <c r="D258" s="9" t="n"/>
      <c r="E258" s="10" t="n"/>
      <c r="F258" s="9" t="n"/>
      <c r="G258" s="11" t="n"/>
      <c r="H258" s="12" t="n"/>
      <c r="I258" s="13" t="n"/>
      <c r="J258" s="11" t="n"/>
      <c r="K258" s="11" t="n"/>
      <c r="L258" s="14">
        <f>IFERROR(J258+K258,J258)</f>
        <v/>
      </c>
      <c r="M258" s="15">
        <f>IFERROR(IF(C258="CP",INT(G258*365),INT(G258*365)),"")</f>
        <v/>
      </c>
      <c r="N258" s="16">
        <f>IFERROR(L258*H258/100,"")</f>
        <v/>
      </c>
    </row>
    <row r="259" ht="18" customHeight="1">
      <c r="B259" s="8" t="n"/>
      <c r="C259" s="9" t="n"/>
      <c r="D259" s="9" t="n"/>
      <c r="E259" s="10" t="n"/>
      <c r="F259" s="9" t="n"/>
      <c r="G259" s="11" t="n"/>
      <c r="H259" s="12" t="n"/>
      <c r="I259" s="13" t="n"/>
      <c r="J259" s="11" t="n"/>
      <c r="K259" s="11" t="n"/>
      <c r="L259" s="14">
        <f>IFERROR(J259+K259,J259)</f>
        <v/>
      </c>
      <c r="M259" s="15">
        <f>IFERROR(IF(C259="CP",INT(G259*365),INT(G259*365)),"")</f>
        <v/>
      </c>
      <c r="N259" s="16">
        <f>IFERROR(L259*H259/100,"")</f>
        <v/>
      </c>
    </row>
    <row r="260" ht="18" customHeight="1">
      <c r="B260" s="8" t="n"/>
      <c r="C260" s="9" t="n"/>
      <c r="D260" s="9" t="n"/>
      <c r="E260" s="10" t="n"/>
      <c r="F260" s="9" t="n"/>
      <c r="G260" s="11" t="n"/>
      <c r="H260" s="12" t="n"/>
      <c r="I260" s="13" t="n"/>
      <c r="J260" s="11" t="n"/>
      <c r="K260" s="11" t="n"/>
      <c r="L260" s="14">
        <f>IFERROR(J260+K260,J260)</f>
        <v/>
      </c>
      <c r="M260" s="15">
        <f>IFERROR(IF(C260="CP",INT(G260*365),INT(G260*365)),"")</f>
        <v/>
      </c>
      <c r="N260" s="16">
        <f>IFERROR(L260*H260/100,"")</f>
        <v/>
      </c>
    </row>
    <row r="261" ht="18" customHeight="1">
      <c r="B261" s="8" t="n"/>
      <c r="C261" s="9" t="n"/>
      <c r="D261" s="9" t="n"/>
      <c r="E261" s="10" t="n"/>
      <c r="F261" s="9" t="n"/>
      <c r="G261" s="11" t="n"/>
      <c r="H261" s="12" t="n"/>
      <c r="I261" s="13" t="n"/>
      <c r="J261" s="11" t="n"/>
      <c r="K261" s="11" t="n"/>
      <c r="L261" s="14">
        <f>IFERROR(J261+K261,J261)</f>
        <v/>
      </c>
      <c r="M261" s="15">
        <f>IFERROR(IF(C261="CP",INT(G261*365),INT(G261*365)),"")</f>
        <v/>
      </c>
      <c r="N261" s="16">
        <f>IFERROR(L261*H261/100,"")</f>
        <v/>
      </c>
    </row>
    <row r="262" ht="18" customHeight="1">
      <c r="B262" s="8" t="n"/>
      <c r="C262" s="9" t="n"/>
      <c r="D262" s="9" t="n"/>
      <c r="E262" s="10" t="n"/>
      <c r="F262" s="9" t="n"/>
      <c r="G262" s="11" t="n"/>
      <c r="H262" s="12" t="n"/>
      <c r="I262" s="13" t="n"/>
      <c r="J262" s="11" t="n"/>
      <c r="K262" s="11" t="n"/>
      <c r="L262" s="14">
        <f>IFERROR(J262+K262,J262)</f>
        <v/>
      </c>
      <c r="M262" s="15">
        <f>IFERROR(IF(C262="CP",INT(G262*365),INT(G262*365)),"")</f>
        <v/>
      </c>
      <c r="N262" s="16">
        <f>IFERROR(L262*H262/100,"")</f>
        <v/>
      </c>
    </row>
    <row r="263" ht="18" customHeight="1">
      <c r="B263" s="8" t="n"/>
      <c r="C263" s="9" t="n"/>
      <c r="D263" s="9" t="n"/>
      <c r="E263" s="10" t="n"/>
      <c r="F263" s="9" t="n"/>
      <c r="G263" s="11" t="n"/>
      <c r="H263" s="12" t="n"/>
      <c r="I263" s="13" t="n"/>
      <c r="J263" s="11" t="n"/>
      <c r="K263" s="11" t="n"/>
      <c r="L263" s="14">
        <f>IFERROR(J263+K263,J263)</f>
        <v/>
      </c>
      <c r="M263" s="15">
        <f>IFERROR(IF(C263="CP",INT(G263*365),INT(G263*365)),"")</f>
        <v/>
      </c>
      <c r="N263" s="16">
        <f>IFERROR(L263*H263/100,"")</f>
        <v/>
      </c>
    </row>
    <row r="264" ht="18" customHeight="1">
      <c r="B264" s="8" t="n"/>
      <c r="C264" s="9" t="n"/>
      <c r="D264" s="9" t="n"/>
      <c r="E264" s="10" t="n"/>
      <c r="F264" s="9" t="n"/>
      <c r="G264" s="11" t="n"/>
      <c r="H264" s="12" t="n"/>
      <c r="I264" s="13" t="n"/>
      <c r="J264" s="11" t="n"/>
      <c r="K264" s="11" t="n"/>
      <c r="L264" s="14">
        <f>IFERROR(J264+K264,J264)</f>
        <v/>
      </c>
      <c r="M264" s="15">
        <f>IFERROR(IF(C264="CP",INT(G264*365),INT(G264*365)),"")</f>
        <v/>
      </c>
      <c r="N264" s="16">
        <f>IFERROR(L264*H264/100,"")</f>
        <v/>
      </c>
    </row>
    <row r="265" ht="22" customHeight="1">
      <c r="B265" s="17" t="inlineStr">
        <is>
          <t>PORTFOLIO TOTAL (₹ Cr)</t>
        </is>
      </c>
      <c r="H265" s="18">
        <f>SUM(H5:H264)</f>
        <v/>
      </c>
      <c r="N265" s="18">
        <f>SUM(N5:N264)</f>
        <v/>
      </c>
    </row>
  </sheetData>
  <mergeCells count="3">
    <mergeCell ref="B1:N1"/>
    <mergeCell ref="B2:N2"/>
    <mergeCell ref="B265:G265"/>
  </mergeCells>
  <dataValidations count="1">
    <dataValidation sqref="C5:C264" showDropDown="0" showInputMessage="0" showErrorMessage="0" allowBlank="0" type="list">
      <formula1>"NCD,CP,CD,Bond,Other"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20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0" customWidth="1" min="4" max="4"/>
    <col width="14" customWidth="1" min="5" max="5"/>
    <col width="8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</cols>
  <sheetData>
    <row r="1" ht="32" customHeight="1">
      <c r="B1" s="19" t="inlineStr">
        <is>
          <t>RATES DATABASE — HISTORICAL LOG (AUTO-POPULATED)</t>
        </is>
      </c>
    </row>
    <row r="2">
      <c r="B2" s="20" t="inlineStr">
        <is>
          <t>This sheet auto-records each day's entry. Do NOT edit. Use Data_Entry sheet for all inputs.</t>
        </is>
      </c>
    </row>
    <row r="4" ht="28" customHeight="1">
      <c r="B4" s="3" t="inlineStr">
        <is>
          <t>Date</t>
        </is>
      </c>
      <c r="C4" s="3" t="inlineStr">
        <is>
          <t>Instrument</t>
        </is>
      </c>
      <c r="D4" s="3" t="inlineStr">
        <is>
          <t>Issuer</t>
        </is>
      </c>
      <c r="E4" s="3" t="inlineStr">
        <is>
          <t>ISIN</t>
        </is>
      </c>
      <c r="F4" s="3" t="inlineStr">
        <is>
          <t>Coupon</t>
        </is>
      </c>
      <c r="G4" s="3" t="inlineStr">
        <is>
          <t>Freq</t>
        </is>
      </c>
      <c r="H4" s="3" t="inlineStr">
        <is>
          <t>Tenor</t>
        </is>
      </c>
      <c r="I4" s="3" t="inlineStr">
        <is>
          <t>Face (₹ Cr)</t>
        </is>
      </c>
      <c r="J4" s="3" t="inlineStr">
        <is>
          <t>Yield (%)</t>
        </is>
      </c>
      <c r="K4" s="3" t="inlineStr">
        <is>
          <t>Price</t>
        </is>
      </c>
      <c r="L4" s="3" t="inlineStr">
        <is>
          <t>AI</t>
        </is>
      </c>
      <c r="M4" s="3" t="inlineStr">
        <is>
          <t>Invoice Price</t>
        </is>
      </c>
      <c r="N4" s="3" t="inlineStr">
        <is>
          <t>MTM (₹ Cr)</t>
        </is>
      </c>
    </row>
    <row r="5"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4" customHeight="1">
      <c r="B6" s="22" t="inlineStr">
        <is>
          <t>ℹ  To populate this database: run the Python script build_ncd_cp_tracker.py with --append flag, OR manually copy Data_Entry rows and Paste Special &gt; Values here.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</row>
    <row r="7"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8"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  <row r="79"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</row>
    <row r="80"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</row>
    <row r="81"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</row>
    <row r="82"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</row>
    <row r="83"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</row>
    <row r="84"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</row>
    <row r="85"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</row>
    <row r="86"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</row>
    <row r="87"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</row>
    <row r="88"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</row>
    <row r="89"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</row>
    <row r="90"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</row>
    <row r="91"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</row>
    <row r="92"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</row>
    <row r="93"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</row>
    <row r="94"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</row>
    <row r="95"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</row>
    <row r="96"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</row>
    <row r="97"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</row>
    <row r="98"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</row>
    <row r="99"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</row>
    <row r="100"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</row>
    <row r="101"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</row>
    <row r="102"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</row>
    <row r="103"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</row>
    <row r="104"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</row>
    <row r="105"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</row>
    <row r="106"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</row>
    <row r="107"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</row>
    <row r="108"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</row>
    <row r="109"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</row>
    <row r="110"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</row>
    <row r="111"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</row>
    <row r="112"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</row>
    <row r="113"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</row>
    <row r="114"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</row>
    <row r="115"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</row>
    <row r="116"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</row>
    <row r="117"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</row>
    <row r="118"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</row>
    <row r="119"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</row>
    <row r="120"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</row>
    <row r="121"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</row>
    <row r="122"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</row>
    <row r="123"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</row>
    <row r="124"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</row>
    <row r="125"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</row>
    <row r="126"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</row>
    <row r="127"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</row>
    <row r="128"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</row>
    <row r="129"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</row>
    <row r="130"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</row>
    <row r="131"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</row>
    <row r="132"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</row>
    <row r="133"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</row>
    <row r="134"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</row>
    <row r="135"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</row>
    <row r="136"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</row>
    <row r="137"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</row>
    <row r="138"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</row>
    <row r="139"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</row>
    <row r="140"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</row>
    <row r="141"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</row>
    <row r="142"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</row>
    <row r="143"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</row>
    <row r="144"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</row>
    <row r="145"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</row>
    <row r="146"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</row>
    <row r="147"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</row>
    <row r="148"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</row>
    <row r="149"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</row>
    <row r="150"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</row>
    <row r="151"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</row>
    <row r="152"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</row>
    <row r="153"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</row>
    <row r="154"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</row>
    <row r="155"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</row>
    <row r="156"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</row>
    <row r="157"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</row>
    <row r="158"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</row>
    <row r="159"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</row>
    <row r="160"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</row>
    <row r="161"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</row>
    <row r="162"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</row>
    <row r="163"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</row>
    <row r="164"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</row>
    <row r="165"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</row>
    <row r="166"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</row>
    <row r="167"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</row>
    <row r="168"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</row>
    <row r="169"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</row>
    <row r="170"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</row>
    <row r="171"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</row>
    <row r="172"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</row>
    <row r="173"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</row>
    <row r="174"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</row>
    <row r="175"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</row>
    <row r="176"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</row>
    <row r="177"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</row>
    <row r="178"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</row>
    <row r="179"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</row>
    <row r="180"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</row>
    <row r="181"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</row>
    <row r="182"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</row>
    <row r="183"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</row>
    <row r="184"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</row>
    <row r="185"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</row>
    <row r="186"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</row>
    <row r="187"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</row>
    <row r="188"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</row>
    <row r="189"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</row>
    <row r="190"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</row>
    <row r="191"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</row>
    <row r="192"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</row>
    <row r="193"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</row>
    <row r="194"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</row>
    <row r="195"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</row>
    <row r="196"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</row>
    <row r="197"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</row>
    <row r="198"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</row>
    <row r="199"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</row>
    <row r="200"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</row>
  </sheetData>
  <mergeCells count="3">
    <mergeCell ref="B6:M6"/>
    <mergeCell ref="B2:M2"/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0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2" customHeight="1">
      <c r="B1" s="19" t="inlineStr">
        <is>
          <t>G-SEC BENCHMARK YIELDS — MANUAL ENTRY (RBI / FBIL Data)</t>
        </is>
      </c>
    </row>
    <row r="2" ht="20" customHeight="1">
      <c r="B2" s="2" t="inlineStr">
        <is>
          <t>Enter G-Sec yields by tenor daily from: https://fbil.org.in or RBI Database (DB). Spread calculations use 3Y, 5Y, 7Y, 10Y benchmarks.</t>
        </is>
      </c>
    </row>
    <row r="4" ht="26" customHeight="1">
      <c r="B4" s="3" t="inlineStr">
        <is>
          <t>Date</t>
        </is>
      </c>
      <c r="C4" s="3" t="inlineStr">
        <is>
          <t>1Y G-Sec</t>
        </is>
      </c>
      <c r="D4" s="3" t="inlineStr">
        <is>
          <t>2Y G-Sec</t>
        </is>
      </c>
      <c r="E4" s="3" t="inlineStr">
        <is>
          <t>3Y G-Sec</t>
        </is>
      </c>
      <c r="F4" s="3" t="inlineStr">
        <is>
          <t>5Y G-Sec</t>
        </is>
      </c>
      <c r="G4" s="3" t="inlineStr">
        <is>
          <t>7Y G-Sec</t>
        </is>
      </c>
      <c r="H4" s="3" t="inlineStr">
        <is>
          <t>10Y G-Sec</t>
        </is>
      </c>
      <c r="I4" s="3" t="inlineStr">
        <is>
          <t>15Y G-Sec</t>
        </is>
      </c>
      <c r="J4" s="3" t="inlineStr">
        <is>
          <t>20Y G-Sec</t>
        </is>
      </c>
      <c r="K4" s="3" t="inlineStr">
        <is>
          <t>25Y G-Sec</t>
        </is>
      </c>
      <c r="L4" s="3" t="inlineStr">
        <is>
          <t>30Y G-Sec</t>
        </is>
      </c>
    </row>
    <row r="5" ht="20" customHeight="1">
      <c r="B5" s="23" t="inlineStr">
        <is>
          <t>2026-03-25</t>
        </is>
      </c>
      <c r="C5" s="24" t="n">
        <v>0.067</v>
      </c>
      <c r="D5" s="24" t="n">
        <v>0.068</v>
      </c>
      <c r="E5" s="24" t="n">
        <v>0.06900000000000001</v>
      </c>
      <c r="F5" s="24" t="n">
        <v>0.06950000000000001</v>
      </c>
      <c r="G5" s="24" t="n">
        <v>0.07049999999999999</v>
      </c>
      <c r="H5" s="24" t="n">
        <v>0.07099999999999999</v>
      </c>
      <c r="I5" s="24" t="n">
        <v>0.073</v>
      </c>
      <c r="J5" s="24" t="n">
        <v>0.075</v>
      </c>
      <c r="K5" s="24" t="n">
        <v>0.076</v>
      </c>
      <c r="L5" s="24" t="n">
        <v>0.0765</v>
      </c>
    </row>
    <row r="6" ht="18" customHeight="1">
      <c r="B6" s="8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 ht="18" customHeight="1">
      <c r="B7" s="8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</row>
    <row r="8" ht="18" customHeight="1">
      <c r="B8" s="8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 ht="18" customHeight="1">
      <c r="B9" s="8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 ht="18" customHeight="1">
      <c r="B10" s="8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 ht="18" customHeight="1">
      <c r="B11" s="8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8" customHeight="1">
      <c r="B12" s="8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 ht="18" customHeight="1">
      <c r="B13" s="8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 ht="18" customHeight="1">
      <c r="B14" s="8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8" customHeight="1">
      <c r="B15" s="8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 ht="18" customHeight="1">
      <c r="B16" s="8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8" customHeight="1">
      <c r="B17" s="8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 ht="18" customHeight="1">
      <c r="B18" s="8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 ht="18" customHeight="1">
      <c r="B19" s="8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 ht="18" customHeight="1">
      <c r="B20" s="8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 ht="18" customHeight="1">
      <c r="B21" s="8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 ht="18" customHeight="1">
      <c r="B22" s="8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 ht="18" customHeight="1">
      <c r="B23" s="8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 ht="18" customHeight="1">
      <c r="B24" s="8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 ht="18" customHeight="1">
      <c r="B25" s="8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 ht="18" customHeight="1">
      <c r="B26" s="8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 ht="18" customHeight="1">
      <c r="B27" s="8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 ht="18" customHeight="1">
      <c r="B28" s="8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 ht="18" customHeight="1">
      <c r="B29" s="8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 ht="18" customHeight="1">
      <c r="B30" s="8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 ht="18" customHeight="1">
      <c r="B31" s="8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 ht="18" customHeight="1">
      <c r="B32" s="8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 ht="18" customHeight="1">
      <c r="B33" s="8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</row>
    <row r="34" ht="18" customHeight="1">
      <c r="B34" s="8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 ht="18" customHeight="1">
      <c r="B35" s="8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</row>
    <row r="36" ht="18" customHeight="1">
      <c r="B36" s="8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 ht="18" customHeight="1">
      <c r="B37" s="8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 ht="18" customHeight="1">
      <c r="B38" s="8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 ht="18" customHeight="1">
      <c r="B39" s="8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</row>
    <row r="40" ht="18" customHeight="1">
      <c r="B40" s="8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</row>
    <row r="41" ht="18" customHeight="1">
      <c r="B41" s="8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</row>
    <row r="42" ht="18" customHeight="1">
      <c r="B42" s="8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 ht="18" customHeight="1">
      <c r="B43" s="8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</row>
    <row r="44" ht="18" customHeight="1">
      <c r="B44" s="8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</row>
    <row r="45" ht="18" customHeight="1">
      <c r="B45" s="8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</row>
    <row r="46" ht="18" customHeight="1">
      <c r="B46" s="8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</row>
    <row r="47" ht="18" customHeight="1">
      <c r="B47" s="8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</row>
    <row r="48" ht="18" customHeight="1">
      <c r="B48" s="8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</row>
    <row r="49" ht="18" customHeight="1">
      <c r="B49" s="8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</row>
    <row r="50" ht="18" customHeight="1">
      <c r="B50" s="8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</row>
    <row r="51" ht="18" customHeight="1">
      <c r="B51" s="8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</row>
    <row r="52" ht="18" customHeight="1">
      <c r="B52" s="8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 ht="18" customHeight="1"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 ht="18" customHeight="1"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5" ht="18" customHeight="1"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</row>
    <row r="56" ht="18" customHeight="1"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 ht="18" customHeight="1"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8" ht="18" customHeight="1"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</row>
    <row r="59" ht="18" customHeight="1"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</row>
    <row r="60" ht="18" customHeight="1"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</row>
    <row r="61" ht="18" customHeight="1"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</row>
    <row r="62" ht="18" customHeight="1"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</row>
    <row r="63" ht="18" customHeight="1"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</row>
    <row r="64" ht="18" customHeight="1"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</row>
    <row r="65" ht="18" customHeight="1"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</row>
    <row r="66" ht="18" customHeight="1"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</row>
    <row r="67" ht="18" customHeight="1"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</row>
    <row r="68" ht="18" customHeight="1"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</row>
    <row r="69" ht="18" customHeight="1"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</row>
    <row r="70" ht="18" customHeight="1"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</row>
    <row r="71" ht="18" customHeight="1"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</row>
    <row r="72" ht="18" customHeight="1"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</row>
    <row r="73" ht="18" customHeight="1"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</row>
    <row r="74" ht="18" customHeight="1"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</row>
    <row r="75" ht="18" customHeight="1"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</row>
    <row r="76" ht="18" customHeight="1"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</row>
    <row r="77" ht="18" customHeight="1"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</row>
    <row r="78" ht="18" customHeight="1"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</row>
    <row r="79" ht="18" customHeight="1"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</row>
    <row r="80" ht="18" customHeight="1"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</row>
    <row r="81" ht="18" customHeight="1"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</row>
    <row r="82" ht="18" customHeight="1"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</row>
    <row r="83" ht="18" customHeight="1"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</row>
    <row r="84" ht="18" customHeight="1">
      <c r="B84" s="8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</row>
    <row r="85" ht="18" customHeight="1">
      <c r="B85" s="8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</row>
    <row r="86" ht="18" customHeight="1">
      <c r="B86" s="8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</row>
    <row r="87" ht="18" customHeight="1">
      <c r="B87" s="8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</row>
    <row r="88" ht="18" customHeight="1">
      <c r="B88" s="8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</row>
    <row r="89" ht="18" customHeight="1">
      <c r="B89" s="8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</row>
    <row r="90" ht="18" customHeight="1">
      <c r="B90" s="8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</row>
    <row r="91" ht="18" customHeight="1">
      <c r="B91" s="8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</row>
    <row r="92" ht="18" customHeight="1">
      <c r="B92" s="8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</row>
    <row r="93" ht="18" customHeight="1">
      <c r="B93" s="8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</row>
    <row r="94" ht="18" customHeight="1">
      <c r="B94" s="8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</row>
    <row r="95" ht="18" customHeight="1">
      <c r="B95" s="8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</row>
    <row r="96" ht="18" customHeight="1">
      <c r="B96" s="8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</row>
    <row r="97" ht="18" customHeight="1">
      <c r="B97" s="8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</row>
    <row r="98" ht="18" customHeight="1">
      <c r="B98" s="8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</row>
    <row r="99" ht="18" customHeight="1">
      <c r="B99" s="8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</row>
    <row r="100" ht="18" customHeight="1">
      <c r="B100" s="8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</row>
    <row r="101" ht="18" customHeight="1">
      <c r="B101" s="8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</row>
    <row r="102" ht="18" customHeight="1">
      <c r="B102" s="8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</row>
    <row r="103" ht="18" customHeight="1">
      <c r="B103" s="8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 ht="18" customHeight="1">
      <c r="B104" s="8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</row>
    <row r="105" ht="18" customHeight="1">
      <c r="B105" s="8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</row>
    <row r="106"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</row>
    <row r="108" ht="22" customHeight="1">
      <c r="B108" s="25" t="inlineStr">
        <is>
          <t>Spread = Instrument Yield - G-Sec Yield (nearest tenor). For CP (tenor &lt; 1Y): compare vs 1Y G-Sec. For NCD 5Y: compare vs 5Y G-Sec.</t>
        </is>
      </c>
    </row>
  </sheetData>
  <mergeCells count="3">
    <mergeCell ref="B108:K108"/>
    <mergeCell ref="B1:K1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4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B1" s="26" t="inlineStr">
        <is>
          <t>PORTFOLIO SUMMARY — LIVE</t>
        </is>
      </c>
    </row>
    <row r="2">
      <c r="B2" s="27" t="inlineStr">
        <is>
          <t>Aggregated from Data_Entry sheet. Auto-updates when entries are changed.</t>
        </is>
      </c>
    </row>
    <row r="4">
      <c r="B4" s="28" t="inlineStr">
        <is>
          <t>1. PORTFOLIO BY INSTRUMENT TYPE</t>
        </is>
      </c>
      <c r="C4" s="29" t="n"/>
      <c r="D4" s="29" t="n"/>
      <c r="E4" s="30" t="n"/>
    </row>
    <row r="5" ht="22" customHeight="1">
      <c r="B5" s="3" t="inlineStr">
        <is>
          <t>Instrument</t>
        </is>
      </c>
      <c r="C5" s="3" t="inlineStr">
        <is>
          <t>Face Value (₹ Cr)</t>
        </is>
      </c>
      <c r="D5" s="3" t="inlineStr">
        <is>
          <t>MTM Value (₹ Cr)</t>
        </is>
      </c>
      <c r="E5" s="3" t="inlineStr">
        <is>
          <t>Wtd Avg Yield</t>
        </is>
      </c>
      <c r="F5" s="3" t="inlineStr">
        <is>
          <t>Wtd Avg Tenor</t>
        </is>
      </c>
    </row>
    <row r="6" ht="20" customHeight="1">
      <c r="B6" s="31" t="inlineStr">
        <is>
          <t>NCD</t>
        </is>
      </c>
      <c r="C6" s="32">
        <f>SUMIFS(Data_Entry!H5:H265,Data_Entry!C5:C265,"NCD")</f>
        <v/>
      </c>
      <c r="D6" s="32">
        <f>SUMIFS(Data_Entry!N5:N265,Data_Entry!C5:C265,"NCD")</f>
        <v/>
      </c>
      <c r="E6" s="33">
        <f>IFERROR(SUMPRODUCT((Data_Entry!C5:C265="NCD")*Data_Entry!I5:I265*Data_Entry!H5:H265)/SUMIFS(Data_Entry!H5:H265,Data_Entry!C5:C265,"NCD"),"")</f>
        <v/>
      </c>
      <c r="F6" s="34">
        <f>IFERROR(SUMPRODUCT((Data_Entry!C5:C265="NCD")*Data_Entry!G5:G265*Data_Entry!H5:H265)/SUMIFS(Data_Entry!H5:H265,Data_Entry!C5:C265,"NCD"),"")</f>
        <v/>
      </c>
    </row>
    <row r="7" ht="20" customHeight="1">
      <c r="B7" s="31" t="inlineStr">
        <is>
          <t>CP</t>
        </is>
      </c>
      <c r="C7" s="32">
        <f>SUMIFS(Data_Entry!H5:H265,Data_Entry!C5:C265,"CP")</f>
        <v/>
      </c>
      <c r="D7" s="32">
        <f>SUMIFS(Data_Entry!N5:N265,Data_Entry!C5:C265,"CP")</f>
        <v/>
      </c>
      <c r="E7" s="33">
        <f>IFERROR(SUMPRODUCT((Data_Entry!C5:C265="CP")*Data_Entry!I5:I265*Data_Entry!H5:H265)/SUMIFS(Data_Entry!H5:H265,Data_Entry!C5:C265,"CP"),"")</f>
        <v/>
      </c>
      <c r="F7" s="34">
        <f>IFERROR(SUMPRODUCT((Data_Entry!C5:C265="CP")*Data_Entry!G5:G265*Data_Entry!H5:H265)/SUMIFS(Data_Entry!H5:H265,Data_Entry!C5:C265,"CP"),"")</f>
        <v/>
      </c>
    </row>
    <row r="8" ht="20" customHeight="1">
      <c r="B8" s="31" t="inlineStr">
        <is>
          <t>CD</t>
        </is>
      </c>
      <c r="C8" s="32">
        <f>SUMIFS(Data_Entry!H5:H265,Data_Entry!C5:C265,"CD")</f>
        <v/>
      </c>
      <c r="D8" s="32">
        <f>SUMIFS(Data_Entry!N5:N265,Data_Entry!C5:C265,"CD")</f>
        <v/>
      </c>
      <c r="E8" s="33">
        <f>IFERROR(SUMPRODUCT((Data_Entry!C5:C265="CD")*Data_Entry!I5:I265*Data_Entry!H5:H265)/SUMIFS(Data_Entry!H5:H265,Data_Entry!C5:C265,"CD"),"")</f>
        <v/>
      </c>
      <c r="F8" s="34">
        <f>IFERROR(SUMPRODUCT((Data_Entry!C5:C265="CD")*Data_Entry!G5:G265*Data_Entry!H5:H265)/SUMIFS(Data_Entry!H5:H265,Data_Entry!C5:C265,"CD"),"")</f>
        <v/>
      </c>
    </row>
    <row r="9" ht="20" customHeight="1">
      <c r="B9" s="31" t="inlineStr">
        <is>
          <t>Bond</t>
        </is>
      </c>
      <c r="C9" s="32">
        <f>SUMIFS(Data_Entry!H5:H265,Data_Entry!C5:C265,"Bond")</f>
        <v/>
      </c>
      <c r="D9" s="32">
        <f>SUMIFS(Data_Entry!N5:N265,Data_Entry!C5:C265,"Bond")</f>
        <v/>
      </c>
      <c r="E9" s="33">
        <f>IFERROR(SUMPRODUCT((Data_Entry!C5:C265="Bond")*Data_Entry!I5:I265*Data_Entry!H5:H265)/SUMIFS(Data_Entry!H5:H265,Data_Entry!C5:C265,"Bond"),"")</f>
        <v/>
      </c>
      <c r="F9" s="34">
        <f>IFERROR(SUMPRODUCT((Data_Entry!C5:C265="Bond")*Data_Entry!G5:G265*Data_Entry!H5:H265)/SUMIFS(Data_Entry!H5:H265,Data_Entry!C5:C265,"Bond"),"")</f>
        <v/>
      </c>
    </row>
    <row r="10" ht="20" customHeight="1">
      <c r="B10" s="31" t="inlineStr">
        <is>
          <t>Other</t>
        </is>
      </c>
      <c r="C10" s="32">
        <f>SUMIFS(Data_Entry!H5:H265,Data_Entry!C5:C265,"Other")</f>
        <v/>
      </c>
      <c r="D10" s="32">
        <f>SUMIFS(Data_Entry!N5:N265,Data_Entry!C5:C265,"Other")</f>
        <v/>
      </c>
      <c r="E10" s="33">
        <f>IFERROR(SUMPRODUCT((Data_Entry!C5:C265="Other")*Data_Entry!I5:I265*Data_Entry!H5:H265)/SUMIFS(Data_Entry!H5:H265,Data_Entry!C5:C265,"Other"),"")</f>
        <v/>
      </c>
      <c r="F10" s="34">
        <f>IFERROR(SUMPRODUCT((Data_Entry!C5:C265="Other")*Data_Entry!G5:G265*Data_Entry!H5:H265)/SUMIFS(Data_Entry!H5:H265,Data_Entry!C5:C265,"Other"),"")</f>
        <v/>
      </c>
    </row>
    <row r="11" ht="22" customHeight="1">
      <c r="B11" s="35" t="inlineStr">
        <is>
          <t>TOTAL PORTFOLIO</t>
        </is>
      </c>
      <c r="C11" s="36">
        <f>SUM(C6:C10)</f>
        <v/>
      </c>
      <c r="D11" s="36">
        <f>SUM(D6:D10)</f>
        <v/>
      </c>
      <c r="E11" s="37">
        <f>IFERROR(SUMPRODUCT(Data_Entry!I5:I265*Data_Entry!H5:H265)/SUM(Data_Entry!H5:H265),"")</f>
        <v/>
      </c>
      <c r="F11" s="38">
        <f>IFERROR(SUMPRODUCT(Data_Entry!G5:G265*Data_Entry!H5:H265)/SUM(Data_Entry!H5:H265),"")</f>
        <v/>
      </c>
    </row>
    <row r="12">
      <c r="B12" s="21" t="n"/>
      <c r="C12" s="21" t="n"/>
      <c r="D12" s="21" t="n"/>
      <c r="E12" s="21" t="n"/>
      <c r="F12" s="21" t="n"/>
    </row>
    <row r="13">
      <c r="B13" s="21" t="n"/>
      <c r="C13" s="21" t="n"/>
      <c r="D13" s="21" t="n"/>
      <c r="E13" s="21" t="n"/>
      <c r="F13" s="21" t="n"/>
    </row>
    <row r="14">
      <c r="B14" s="28" t="inlineStr">
        <is>
          <t>2. PORTFOLIO BY ISSUER</t>
        </is>
      </c>
      <c r="C14" s="21" t="n"/>
      <c r="D14" s="21" t="n"/>
      <c r="E14" s="21" t="n"/>
      <c r="F14" s="21" t="n"/>
    </row>
    <row r="15" ht="22" customHeight="1">
      <c r="B15" s="3" t="inlineStr">
        <is>
          <t>Issuer Name</t>
        </is>
      </c>
      <c r="C15" s="3" t="inlineStr">
        <is>
          <t>Instrument</t>
        </is>
      </c>
      <c r="D15" s="3" t="inlineStr">
        <is>
          <t>Face (₹ Cr)</t>
        </is>
      </c>
      <c r="E15" s="3" t="inlineStr">
        <is>
          <t>Yield (%)</t>
        </is>
      </c>
      <c r="F15" s="3" t="inlineStr">
        <is>
          <t>G-Sec Bench</t>
        </is>
      </c>
      <c r="G15" s="3" t="inlineStr">
        <is>
          <t>Spread (bp)</t>
        </is>
      </c>
      <c r="H15" s="3" t="inlineStr">
        <is>
          <t>MTM (₹ Cr)</t>
        </is>
      </c>
    </row>
    <row r="16" ht="18" customHeight="1">
      <c r="B16" s="39">
        <f>IFERROR(INDEX(Data_Entry!D5:D265,MATCH(0,COUNTIF($B$16:B15,Data_Entry!D5:D265),0)+4),"")</f>
        <v/>
      </c>
      <c r="C16" s="6" t="n"/>
      <c r="D16" s="6" t="n"/>
      <c r="E16" s="6" t="n"/>
      <c r="F16" s="6" t="n"/>
      <c r="G16" s="6" t="n"/>
      <c r="H16" s="6" t="n"/>
    </row>
    <row r="17" ht="18" customHeight="1">
      <c r="B17" s="39">
        <f>IFERROR(INDEX(Data_Entry!D5:D265,MATCH(0,COUNTIF($B$16:B16,Data_Entry!D5:D265),0)+4),"")</f>
        <v/>
      </c>
      <c r="C17" s="7" t="n"/>
      <c r="D17" s="7" t="n"/>
      <c r="E17" s="7" t="n"/>
      <c r="F17" s="7" t="n"/>
      <c r="G17" s="7" t="n"/>
      <c r="H17" s="7" t="n"/>
    </row>
    <row r="18" ht="18" customHeight="1">
      <c r="B18" s="39">
        <f>IFERROR(INDEX(Data_Entry!D5:D265,MATCH(0,COUNTIF($B$16:B17,Data_Entry!D5:D265),0)+4),"")</f>
        <v/>
      </c>
      <c r="C18" s="6" t="n"/>
      <c r="D18" s="6" t="n"/>
      <c r="E18" s="6" t="n"/>
      <c r="F18" s="6" t="n"/>
      <c r="G18" s="6" t="n"/>
      <c r="H18" s="6" t="n"/>
    </row>
    <row r="19" ht="18" customHeight="1">
      <c r="B19" s="39">
        <f>IFERROR(INDEX(Data_Entry!D5:D265,MATCH(0,COUNTIF($B$16:B18,Data_Entry!D5:D265),0)+4),"")</f>
        <v/>
      </c>
      <c r="C19" s="7" t="n"/>
      <c r="D19" s="7" t="n"/>
      <c r="E19" s="7" t="n"/>
      <c r="F19" s="7" t="n"/>
      <c r="G19" s="7" t="n"/>
      <c r="H19" s="7" t="n"/>
    </row>
    <row r="20" ht="18" customHeight="1">
      <c r="B20" s="39">
        <f>IFERROR(INDEX(Data_Entry!D5:D265,MATCH(0,COUNTIF($B$16:B19,Data_Entry!D5:D265),0)+4),"")</f>
        <v/>
      </c>
      <c r="C20" s="6" t="n"/>
      <c r="D20" s="6" t="n"/>
      <c r="E20" s="6" t="n"/>
      <c r="F20" s="6" t="n"/>
      <c r="G20" s="6" t="n"/>
      <c r="H20" s="6" t="n"/>
    </row>
    <row r="21" ht="18" customHeight="1">
      <c r="B21" s="39">
        <f>IFERROR(INDEX(Data_Entry!D5:D265,MATCH(0,COUNTIF($B$16:B20,Data_Entry!D5:D265),0)+4),"")</f>
        <v/>
      </c>
      <c r="C21" s="7" t="n"/>
      <c r="D21" s="7" t="n"/>
      <c r="E21" s="7" t="n"/>
      <c r="F21" s="7" t="n"/>
      <c r="G21" s="7" t="n"/>
      <c r="H21" s="7" t="n"/>
    </row>
    <row r="22" ht="18" customHeight="1">
      <c r="B22" s="39">
        <f>IFERROR(INDEX(Data_Entry!D5:D265,MATCH(0,COUNTIF($B$16:B21,Data_Entry!D5:D265),0)+4),"")</f>
        <v/>
      </c>
      <c r="C22" s="6" t="n"/>
      <c r="D22" s="6" t="n"/>
      <c r="E22" s="6" t="n"/>
      <c r="F22" s="6" t="n"/>
      <c r="G22" s="6" t="n"/>
      <c r="H22" s="6" t="n"/>
    </row>
    <row r="23" ht="18" customHeight="1">
      <c r="B23" s="39">
        <f>IFERROR(INDEX(Data_Entry!D5:D265,MATCH(0,COUNTIF($B$16:B22,Data_Entry!D5:D265),0)+4),"")</f>
        <v/>
      </c>
      <c r="C23" s="7" t="n"/>
      <c r="D23" s="7" t="n"/>
      <c r="E23" s="7" t="n"/>
      <c r="F23" s="7" t="n"/>
      <c r="G23" s="7" t="n"/>
      <c r="H23" s="7" t="n"/>
    </row>
    <row r="24" ht="18" customHeight="1">
      <c r="B24" s="39">
        <f>IFERROR(INDEX(Data_Entry!D5:D265,MATCH(0,COUNTIF($B$16:B23,Data_Entry!D5:D265),0)+4),"")</f>
        <v/>
      </c>
      <c r="C24" s="6" t="n"/>
      <c r="D24" s="6" t="n"/>
      <c r="E24" s="6" t="n"/>
      <c r="F24" s="6" t="n"/>
      <c r="G24" s="6" t="n"/>
      <c r="H24" s="6" t="n"/>
    </row>
    <row r="25" ht="18" customHeight="1">
      <c r="B25" s="39">
        <f>IFERROR(INDEX(Data_Entry!D5:D265,MATCH(0,COUNTIF($B$16:B24,Data_Entry!D5:D265),0)+4),"")</f>
        <v/>
      </c>
      <c r="C25" s="7" t="n"/>
      <c r="D25" s="7" t="n"/>
      <c r="E25" s="7" t="n"/>
      <c r="F25" s="7" t="n"/>
      <c r="G25" s="7" t="n"/>
      <c r="H25" s="7" t="n"/>
    </row>
    <row r="26" ht="18" customHeight="1">
      <c r="B26" s="39">
        <f>IFERROR(INDEX(Data_Entry!D5:D265,MATCH(0,COUNTIF($B$16:B25,Data_Entry!D5:D265),0)+4),"")</f>
        <v/>
      </c>
      <c r="C26" s="6" t="n"/>
      <c r="D26" s="6" t="n"/>
      <c r="E26" s="6" t="n"/>
      <c r="F26" s="6" t="n"/>
      <c r="G26" s="6" t="n"/>
      <c r="H26" s="6" t="n"/>
    </row>
    <row r="27" ht="18" customHeight="1">
      <c r="B27" s="39">
        <f>IFERROR(INDEX(Data_Entry!D5:D265,MATCH(0,COUNTIF($B$16:B26,Data_Entry!D5:D265),0)+4),"")</f>
        <v/>
      </c>
      <c r="C27" s="7" t="n"/>
      <c r="D27" s="7" t="n"/>
      <c r="E27" s="7" t="n"/>
      <c r="F27" s="7" t="n"/>
      <c r="G27" s="7" t="n"/>
      <c r="H27" s="7" t="n"/>
    </row>
    <row r="28" ht="18" customHeight="1">
      <c r="B28" s="39">
        <f>IFERROR(INDEX(Data_Entry!D5:D265,MATCH(0,COUNTIF($B$16:B27,Data_Entry!D5:D265),0)+4),"")</f>
        <v/>
      </c>
      <c r="C28" s="6" t="n"/>
      <c r="D28" s="6" t="n"/>
      <c r="E28" s="6" t="n"/>
      <c r="F28" s="6" t="n"/>
      <c r="G28" s="6" t="n"/>
      <c r="H28" s="6" t="n"/>
    </row>
    <row r="29" ht="18" customHeight="1">
      <c r="B29" s="39">
        <f>IFERROR(INDEX(Data_Entry!D5:D265,MATCH(0,COUNTIF($B$16:B28,Data_Entry!D5:D265),0)+4),"")</f>
        <v/>
      </c>
      <c r="C29" s="7" t="n"/>
      <c r="D29" s="7" t="n"/>
      <c r="E29" s="7" t="n"/>
      <c r="F29" s="7" t="n"/>
      <c r="G29" s="7" t="n"/>
      <c r="H29" s="7" t="n"/>
    </row>
    <row r="30" ht="18" customHeight="1">
      <c r="B30" s="39">
        <f>IFERROR(INDEX(Data_Entry!D5:D265,MATCH(0,COUNTIF($B$16:B29,Data_Entry!D5:D265),0)+4),"")</f>
        <v/>
      </c>
      <c r="C30" s="6" t="n"/>
      <c r="D30" s="6" t="n"/>
      <c r="E30" s="6" t="n"/>
      <c r="F30" s="6" t="n"/>
      <c r="G30" s="6" t="n"/>
      <c r="H30" s="6" t="n"/>
    </row>
    <row r="31" ht="18" customHeight="1">
      <c r="B31" s="39">
        <f>IFERROR(INDEX(Data_Entry!D5:D265,MATCH(0,COUNTIF($B$16:B30,Data_Entry!D5:D265),0)+4),"")</f>
        <v/>
      </c>
      <c r="C31" s="7" t="n"/>
      <c r="D31" s="7" t="n"/>
      <c r="E31" s="7" t="n"/>
      <c r="F31" s="7" t="n"/>
      <c r="G31" s="7" t="n"/>
      <c r="H31" s="7" t="n"/>
    </row>
    <row r="32" ht="18" customHeight="1">
      <c r="B32" s="39">
        <f>IFERROR(INDEX(Data_Entry!D5:D265,MATCH(0,COUNTIF($B$16:B31,Data_Entry!D5:D265),0)+4),"")</f>
        <v/>
      </c>
      <c r="C32" s="6" t="n"/>
      <c r="D32" s="6" t="n"/>
      <c r="E32" s="6" t="n"/>
      <c r="F32" s="6" t="n"/>
      <c r="G32" s="6" t="n"/>
      <c r="H32" s="6" t="n"/>
    </row>
    <row r="33" ht="18" customHeight="1">
      <c r="B33" s="39">
        <f>IFERROR(INDEX(Data_Entry!D5:D265,MATCH(0,COUNTIF($B$16:B32,Data_Entry!D5:D265),0)+4),"")</f>
        <v/>
      </c>
      <c r="C33" s="7" t="n"/>
      <c r="D33" s="7" t="n"/>
      <c r="E33" s="7" t="n"/>
      <c r="F33" s="7" t="n"/>
      <c r="G33" s="7" t="n"/>
      <c r="H33" s="7" t="n"/>
    </row>
    <row r="34" ht="18" customHeight="1">
      <c r="B34" s="39">
        <f>IFERROR(INDEX(Data_Entry!D5:D265,MATCH(0,COUNTIF($B$16:B33,Data_Entry!D5:D265),0)+4),"")</f>
        <v/>
      </c>
      <c r="C34" s="6" t="n"/>
      <c r="D34" s="6" t="n"/>
      <c r="E34" s="6" t="n"/>
      <c r="F34" s="6" t="n"/>
      <c r="G34" s="6" t="n"/>
      <c r="H34" s="6" t="n"/>
    </row>
    <row r="35" ht="18" customHeight="1">
      <c r="B35" s="39">
        <f>IFERROR(INDEX(Data_Entry!D5:D265,MATCH(0,COUNTIF($B$16:B34,Data_Entry!D5:D265),0)+4),"")</f>
        <v/>
      </c>
      <c r="C35" s="7" t="n"/>
      <c r="D35" s="7" t="n"/>
      <c r="E35" s="7" t="n"/>
      <c r="F35" s="7" t="n"/>
      <c r="G35" s="7" t="n"/>
      <c r="H35" s="7" t="n"/>
    </row>
    <row r="36">
      <c r="B36" s="21" t="n"/>
      <c r="C36" s="21" t="n"/>
      <c r="D36" s="21" t="n"/>
      <c r="E36" s="21" t="n"/>
      <c r="F36" s="21" t="n"/>
    </row>
    <row r="37">
      <c r="B37" s="21" t="n"/>
      <c r="C37" s="21" t="n"/>
      <c r="D37" s="21" t="n"/>
      <c r="E37" s="21" t="n"/>
      <c r="F37" s="21" t="n"/>
    </row>
    <row r="38">
      <c r="B38" s="28" t="inlineStr">
        <is>
          <t>3. PORTFOLIO DURATION &amp; RISK METRICS</t>
        </is>
      </c>
      <c r="C38" s="21" t="n"/>
      <c r="D38" s="21" t="n"/>
      <c r="E38" s="21" t="n"/>
      <c r="F38" s="21" t="n"/>
    </row>
    <row r="39">
      <c r="B39" s="3" t="inlineStr">
        <is>
          <t>Metric</t>
        </is>
      </c>
      <c r="C39" s="3" t="inlineStr">
        <is>
          <t>Value</t>
        </is>
      </c>
      <c r="D39" s="3" t="inlineStr">
        <is>
          <t>Formula / Notes</t>
        </is>
      </c>
      <c r="E39" s="21" t="n"/>
      <c r="F39" s="21" t="n"/>
    </row>
    <row r="40" ht="22" customHeight="1">
      <c r="B40" s="40" t="inlineStr">
        <is>
          <t>Portfolio Modified Duration</t>
        </is>
      </c>
      <c r="C40" s="41">
        <f>IFERROR(SUMPRODUCT((Data_Entry!C5:C265)="NCD")*Data_Entry!G5:G265*Data_Entry!H5:H265)/SUMIFS(Data_Entry!H5:H265,Data_Entry!C5:C265,"NCD")/(1+Data_Entry!I5:I265),"Check data")</f>
        <v/>
      </c>
      <c r="D40" s="42" t="inlineStr">
        <is>
          <t>Approx — assumes bullet NCD. For amortising, use actual schedule.</t>
        </is>
      </c>
      <c r="E40" s="21" t="n"/>
      <c r="F40" s="21" t="n"/>
    </row>
    <row r="41" ht="22" customHeight="1">
      <c r="B41" s="40" t="inlineStr">
        <is>
          <t>Portfolio DV01 (₹ Cr per bp)</t>
        </is>
      </c>
      <c r="C41" s="43">
        <f>C40*SUM(Data_Entry!H5:H265)/10000</f>
        <v/>
      </c>
      <c r="D41" s="42" t="inlineStr">
        <is>
          <t>Price sensitivity per 1bp yield move</t>
        </is>
      </c>
      <c r="E41" s="21" t="n"/>
      <c r="F41" s="21" t="n"/>
    </row>
    <row r="42" ht="22" customHeight="1">
      <c r="B42" s="40" t="inlineStr">
        <is>
          <t>Estimated MTM Δ per +100bp</t>
        </is>
      </c>
      <c r="C42" s="44">
        <f>-C40*SUM(Data_Entry!H5:H265)*0.01</f>
        <v/>
      </c>
      <c r="D42" s="42" t="inlineStr">
        <is>
          <t>Approx portfolio loss for 100bp rate rise</t>
        </is>
      </c>
      <c r="E42" s="21" t="n"/>
      <c r="F42" s="21" t="n"/>
    </row>
    <row r="43" ht="22" customHeight="1">
      <c r="B43" s="40" t="inlineStr">
        <is>
          <t>Estimated MTM Δ per -100bp</t>
        </is>
      </c>
      <c r="C43" s="44">
        <f>C40*SUM(Data_Entry!H5:H265)*0.01</f>
        <v/>
      </c>
      <c r="D43" s="42" t="inlineStr">
        <is>
          <t>Approx portfolio gain for 100bp rate fall</t>
        </is>
      </c>
      <c r="E43" s="21" t="n"/>
      <c r="F43" s="21" t="n"/>
    </row>
  </sheetData>
  <mergeCells count="10">
    <mergeCell ref="B1:K1"/>
    <mergeCell ref="B4:E4"/>
    <mergeCell ref="D42:E42"/>
    <mergeCell ref="D43:E43"/>
    <mergeCell ref="B38:E38"/>
    <mergeCell ref="B11"/>
    <mergeCell ref="D41:E41"/>
    <mergeCell ref="B2:K2"/>
    <mergeCell ref="D40:E40"/>
    <mergeCell ref="B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4" customHeight="1">
      <c r="B1" s="26" t="inlineStr">
        <is>
          <t>MARK-TO-MARKET (MTM) TRACKER</t>
        </is>
      </c>
    </row>
    <row r="2" ht="20" customHeight="1">
      <c r="B2" s="45" t="inlineStr">
        <is>
          <t>Tracks daily MTM using latest prices vs cost/issue price. For unrealized gain/loss: MTM Value - Carrying Value.</t>
        </is>
      </c>
    </row>
    <row r="3" ht="28" customHeight="1">
      <c r="B3" s="3" t="inlineStr">
        <is>
          <t>Date
(Manual)</t>
        </is>
      </c>
      <c r="C3" s="3" t="inlineStr">
        <is>
          <t>Issuer</t>
        </is>
      </c>
      <c r="D3" s="3" t="inlineStr">
        <is>
          <t>Instrument</t>
        </is>
      </c>
      <c r="E3" s="3" t="inlineStr">
        <is>
          <t>Face Value (₹ Cr)</t>
        </is>
      </c>
      <c r="F3" s="3" t="inlineStr">
        <is>
          <t>Issue Price / Cost (₹)</t>
        </is>
      </c>
      <c r="G3" s="3" t="inlineStr">
        <is>
          <t>Current Clean Price (₹)</t>
        </is>
      </c>
      <c r="H3" s="3" t="inlineStr">
        <is>
          <t>MTM Value (₹ Cr)</t>
        </is>
      </c>
      <c r="I3" s="3" t="inlineStr">
        <is>
          <t>Unrealised G/L (₹ Cr)</t>
        </is>
      </c>
      <c r="J3" s="3" t="inlineStr">
        <is>
          <t>Unrealised G/L (%)</t>
        </is>
      </c>
    </row>
    <row r="4" ht="18" customHeight="1">
      <c r="B4" s="6" t="n"/>
      <c r="C4" s="6">
        <f>IFERROR(Data_Entry!D$5,"")</f>
        <v/>
      </c>
      <c r="D4" s="6">
        <f>IFERROR(Data_Entry!C$5,"")</f>
        <v/>
      </c>
      <c r="E4" s="46">
        <f>IFERROR(Data_Entry!H$5,"")</f>
        <v/>
      </c>
      <c r="F4" s="47">
        <f>IFERROR(Data_Entry!L$5,"")</f>
        <v/>
      </c>
      <c r="G4" s="48">
        <f>IFERROR(Data_Entry!J$5,"")</f>
        <v/>
      </c>
      <c r="H4" s="32">
        <f>IFERROR(G4*E4/100,"")</f>
        <v/>
      </c>
      <c r="I4" s="32">
        <f>IFERROR(H4-F4*E4/100,"")</f>
        <v/>
      </c>
      <c r="J4" s="33">
        <f>IFERROR(I4/(F4*E4/100),"")</f>
        <v/>
      </c>
    </row>
    <row r="5" ht="18" customHeight="1">
      <c r="B5" s="7" t="n"/>
      <c r="C5" s="7">
        <f>IFERROR(Data_Entry!D$6,"")</f>
        <v/>
      </c>
      <c r="D5" s="7">
        <f>IFERROR(Data_Entry!C$6,"")</f>
        <v/>
      </c>
      <c r="E5" s="49">
        <f>IFERROR(Data_Entry!H$6,"")</f>
        <v/>
      </c>
      <c r="F5" s="50">
        <f>IFERROR(Data_Entry!L$6,"")</f>
        <v/>
      </c>
      <c r="G5" s="48">
        <f>IFERROR(Data_Entry!J$6,"")</f>
        <v/>
      </c>
      <c r="H5" s="32">
        <f>IFERROR(G5*E5/100,"")</f>
        <v/>
      </c>
      <c r="I5" s="32">
        <f>IFERROR(H5-F5*E5/100,"")</f>
        <v/>
      </c>
      <c r="J5" s="33">
        <f>IFERROR(I5/(F5*E5/100),"")</f>
        <v/>
      </c>
    </row>
    <row r="6" ht="18" customHeight="1">
      <c r="B6" s="6" t="n"/>
      <c r="C6" s="6">
        <f>IFERROR(Data_Entry!D$7,"")</f>
        <v/>
      </c>
      <c r="D6" s="6">
        <f>IFERROR(Data_Entry!C$7,"")</f>
        <v/>
      </c>
      <c r="E6" s="46">
        <f>IFERROR(Data_Entry!H$7,"")</f>
        <v/>
      </c>
      <c r="F6" s="47">
        <f>IFERROR(Data_Entry!L$7,"")</f>
        <v/>
      </c>
      <c r="G6" s="48">
        <f>IFERROR(Data_Entry!J$7,"")</f>
        <v/>
      </c>
      <c r="H6" s="32">
        <f>IFERROR(G6*E6/100,"")</f>
        <v/>
      </c>
      <c r="I6" s="32">
        <f>IFERROR(H6-F6*E6/100,"")</f>
        <v/>
      </c>
      <c r="J6" s="33">
        <f>IFERROR(I6/(F6*E6/100),"")</f>
        <v/>
      </c>
    </row>
    <row r="7" ht="18" customHeight="1">
      <c r="B7" s="7" t="n"/>
      <c r="C7" s="7">
        <f>IFERROR(Data_Entry!D$8,"")</f>
        <v/>
      </c>
      <c r="D7" s="7">
        <f>IFERROR(Data_Entry!C$8,"")</f>
        <v/>
      </c>
      <c r="E7" s="49">
        <f>IFERROR(Data_Entry!H$8,"")</f>
        <v/>
      </c>
      <c r="F7" s="50">
        <f>IFERROR(Data_Entry!L$8,"")</f>
        <v/>
      </c>
      <c r="G7" s="48">
        <f>IFERROR(Data_Entry!J$8,"")</f>
        <v/>
      </c>
      <c r="H7" s="32">
        <f>IFERROR(G7*E7/100,"")</f>
        <v/>
      </c>
      <c r="I7" s="32">
        <f>IFERROR(H7-F7*E7/100,"")</f>
        <v/>
      </c>
      <c r="J7" s="33">
        <f>IFERROR(I7/(F7*E7/100),"")</f>
        <v/>
      </c>
    </row>
    <row r="8" ht="18" customHeight="1">
      <c r="B8" s="6" t="n"/>
      <c r="C8" s="6">
        <f>IFERROR(Data_Entry!D$9,"")</f>
        <v/>
      </c>
      <c r="D8" s="6">
        <f>IFERROR(Data_Entry!C$9,"")</f>
        <v/>
      </c>
      <c r="E8" s="46">
        <f>IFERROR(Data_Entry!H$9,"")</f>
        <v/>
      </c>
      <c r="F8" s="47">
        <f>IFERROR(Data_Entry!L$9,"")</f>
        <v/>
      </c>
      <c r="G8" s="48">
        <f>IFERROR(Data_Entry!J$9,"")</f>
        <v/>
      </c>
      <c r="H8" s="32">
        <f>IFERROR(G8*E8/100,"")</f>
        <v/>
      </c>
      <c r="I8" s="32">
        <f>IFERROR(H8-F8*E8/100,"")</f>
        <v/>
      </c>
      <c r="J8" s="33">
        <f>IFERROR(I8/(F8*E8/100),"")</f>
        <v/>
      </c>
    </row>
    <row r="9" ht="18" customHeight="1">
      <c r="B9" s="7" t="n"/>
      <c r="C9" s="7">
        <f>IFERROR(Data_Entry!D$10,"")</f>
        <v/>
      </c>
      <c r="D9" s="7">
        <f>IFERROR(Data_Entry!C$10,"")</f>
        <v/>
      </c>
      <c r="E9" s="49">
        <f>IFERROR(Data_Entry!H$10,"")</f>
        <v/>
      </c>
      <c r="F9" s="50">
        <f>IFERROR(Data_Entry!L$10,"")</f>
        <v/>
      </c>
      <c r="G9" s="48">
        <f>IFERROR(Data_Entry!J$10,"")</f>
        <v/>
      </c>
      <c r="H9" s="32">
        <f>IFERROR(G9*E9/100,"")</f>
        <v/>
      </c>
      <c r="I9" s="32">
        <f>IFERROR(H9-F9*E9/100,"")</f>
        <v/>
      </c>
      <c r="J9" s="33">
        <f>IFERROR(I9/(F9*E9/100),"")</f>
        <v/>
      </c>
    </row>
    <row r="10" ht="18" customHeight="1">
      <c r="B10" s="6" t="n"/>
      <c r="C10" s="6">
        <f>IFERROR(Data_Entry!D$11,"")</f>
        <v/>
      </c>
      <c r="D10" s="6">
        <f>IFERROR(Data_Entry!C$11,"")</f>
        <v/>
      </c>
      <c r="E10" s="46">
        <f>IFERROR(Data_Entry!H$11,"")</f>
        <v/>
      </c>
      <c r="F10" s="47">
        <f>IFERROR(Data_Entry!L$11,"")</f>
        <v/>
      </c>
      <c r="G10" s="48">
        <f>IFERROR(Data_Entry!J$11,"")</f>
        <v/>
      </c>
      <c r="H10" s="32">
        <f>IFERROR(G10*E10/100,"")</f>
        <v/>
      </c>
      <c r="I10" s="32">
        <f>IFERROR(H10-F10*E10/100,"")</f>
        <v/>
      </c>
      <c r="J10" s="33">
        <f>IFERROR(I10/(F10*E10/100),"")</f>
        <v/>
      </c>
    </row>
    <row r="11" ht="18" customHeight="1">
      <c r="B11" s="7" t="n"/>
      <c r="C11" s="7">
        <f>IFERROR(Data_Entry!D$12,"")</f>
        <v/>
      </c>
      <c r="D11" s="7">
        <f>IFERROR(Data_Entry!C$12,"")</f>
        <v/>
      </c>
      <c r="E11" s="49">
        <f>IFERROR(Data_Entry!H$12,"")</f>
        <v/>
      </c>
      <c r="F11" s="50">
        <f>IFERROR(Data_Entry!L$12,"")</f>
        <v/>
      </c>
      <c r="G11" s="48">
        <f>IFERROR(Data_Entry!J$12,"")</f>
        <v/>
      </c>
      <c r="H11" s="32">
        <f>IFERROR(G11*E11/100,"")</f>
        <v/>
      </c>
      <c r="I11" s="32">
        <f>IFERROR(H11-F11*E11/100,"")</f>
        <v/>
      </c>
      <c r="J11" s="33">
        <f>IFERROR(I11/(F11*E11/100),"")</f>
        <v/>
      </c>
    </row>
    <row r="12" ht="18" customHeight="1">
      <c r="B12" s="6" t="n"/>
      <c r="C12" s="6">
        <f>IFERROR(Data_Entry!D$13,"")</f>
        <v/>
      </c>
      <c r="D12" s="6">
        <f>IFERROR(Data_Entry!C$13,"")</f>
        <v/>
      </c>
      <c r="E12" s="46">
        <f>IFERROR(Data_Entry!H$13,"")</f>
        <v/>
      </c>
      <c r="F12" s="47">
        <f>IFERROR(Data_Entry!L$13,"")</f>
        <v/>
      </c>
      <c r="G12" s="48">
        <f>IFERROR(Data_Entry!J$13,"")</f>
        <v/>
      </c>
      <c r="H12" s="32">
        <f>IFERROR(G12*E12/100,"")</f>
        <v/>
      </c>
      <c r="I12" s="32">
        <f>IFERROR(H12-F12*E12/100,"")</f>
        <v/>
      </c>
      <c r="J12" s="33">
        <f>IFERROR(I12/(F12*E12/100),"")</f>
        <v/>
      </c>
    </row>
    <row r="13" ht="18" customHeight="1">
      <c r="B13" s="7" t="n"/>
      <c r="C13" s="7">
        <f>IFERROR(Data_Entry!D$14,"")</f>
        <v/>
      </c>
      <c r="D13" s="7">
        <f>IFERROR(Data_Entry!C$14,"")</f>
        <v/>
      </c>
      <c r="E13" s="49">
        <f>IFERROR(Data_Entry!H$14,"")</f>
        <v/>
      </c>
      <c r="F13" s="50">
        <f>IFERROR(Data_Entry!L$14,"")</f>
        <v/>
      </c>
      <c r="G13" s="48">
        <f>IFERROR(Data_Entry!J$14,"")</f>
        <v/>
      </c>
      <c r="H13" s="32">
        <f>IFERROR(G13*E13/100,"")</f>
        <v/>
      </c>
      <c r="I13" s="32">
        <f>IFERROR(H13-F13*E13/100,"")</f>
        <v/>
      </c>
      <c r="J13" s="33">
        <f>IFERROR(I13/(F13*E13/100),"")</f>
        <v/>
      </c>
    </row>
    <row r="14" ht="18" customHeight="1">
      <c r="B14" s="6" t="n"/>
      <c r="C14" s="6">
        <f>IFERROR(Data_Entry!D$15,"")</f>
        <v/>
      </c>
      <c r="D14" s="6">
        <f>IFERROR(Data_Entry!C$15,"")</f>
        <v/>
      </c>
      <c r="E14" s="46">
        <f>IFERROR(Data_Entry!H$15,"")</f>
        <v/>
      </c>
      <c r="F14" s="47">
        <f>IFERROR(Data_Entry!L$15,"")</f>
        <v/>
      </c>
      <c r="G14" s="48">
        <f>IFERROR(Data_Entry!J$15,"")</f>
        <v/>
      </c>
      <c r="H14" s="32">
        <f>IFERROR(G14*E14/100,"")</f>
        <v/>
      </c>
      <c r="I14" s="32">
        <f>IFERROR(H14-F14*E14/100,"")</f>
        <v/>
      </c>
      <c r="J14" s="33">
        <f>IFERROR(I14/(F14*E14/100),"")</f>
        <v/>
      </c>
    </row>
    <row r="15" ht="18" customHeight="1">
      <c r="B15" s="7" t="n"/>
      <c r="C15" s="7">
        <f>IFERROR(Data_Entry!D$16,"")</f>
        <v/>
      </c>
      <c r="D15" s="7">
        <f>IFERROR(Data_Entry!C$16,"")</f>
        <v/>
      </c>
      <c r="E15" s="49">
        <f>IFERROR(Data_Entry!H$16,"")</f>
        <v/>
      </c>
      <c r="F15" s="50">
        <f>IFERROR(Data_Entry!L$16,"")</f>
        <v/>
      </c>
      <c r="G15" s="48">
        <f>IFERROR(Data_Entry!J$16,"")</f>
        <v/>
      </c>
      <c r="H15" s="32">
        <f>IFERROR(G15*E15/100,"")</f>
        <v/>
      </c>
      <c r="I15" s="32">
        <f>IFERROR(H15-F15*E15/100,"")</f>
        <v/>
      </c>
      <c r="J15" s="33">
        <f>IFERROR(I15/(F15*E15/100),"")</f>
        <v/>
      </c>
    </row>
    <row r="16" ht="18" customHeight="1">
      <c r="B16" s="6" t="n"/>
      <c r="C16" s="6">
        <f>IFERROR(Data_Entry!D$17,"")</f>
        <v/>
      </c>
      <c r="D16" s="6">
        <f>IFERROR(Data_Entry!C$17,"")</f>
        <v/>
      </c>
      <c r="E16" s="46">
        <f>IFERROR(Data_Entry!H$17,"")</f>
        <v/>
      </c>
      <c r="F16" s="47">
        <f>IFERROR(Data_Entry!L$17,"")</f>
        <v/>
      </c>
      <c r="G16" s="48">
        <f>IFERROR(Data_Entry!J$17,"")</f>
        <v/>
      </c>
      <c r="H16" s="32">
        <f>IFERROR(G16*E16/100,"")</f>
        <v/>
      </c>
      <c r="I16" s="32">
        <f>IFERROR(H16-F16*E16/100,"")</f>
        <v/>
      </c>
      <c r="J16" s="33">
        <f>IFERROR(I16/(F16*E16/100),"")</f>
        <v/>
      </c>
    </row>
    <row r="17" ht="18" customHeight="1">
      <c r="B17" s="7" t="n"/>
      <c r="C17" s="7">
        <f>IFERROR(Data_Entry!D$18,"")</f>
        <v/>
      </c>
      <c r="D17" s="7">
        <f>IFERROR(Data_Entry!C$18,"")</f>
        <v/>
      </c>
      <c r="E17" s="49">
        <f>IFERROR(Data_Entry!H$18,"")</f>
        <v/>
      </c>
      <c r="F17" s="50">
        <f>IFERROR(Data_Entry!L$18,"")</f>
        <v/>
      </c>
      <c r="G17" s="48">
        <f>IFERROR(Data_Entry!J$18,"")</f>
        <v/>
      </c>
      <c r="H17" s="32">
        <f>IFERROR(G17*E17/100,"")</f>
        <v/>
      </c>
      <c r="I17" s="32">
        <f>IFERROR(H17-F17*E17/100,"")</f>
        <v/>
      </c>
      <c r="J17" s="33">
        <f>IFERROR(I17/(F17*E17/100),"")</f>
        <v/>
      </c>
    </row>
    <row r="18" ht="18" customHeight="1">
      <c r="B18" s="6" t="n"/>
      <c r="C18" s="6">
        <f>IFERROR(Data_Entry!D$19,"")</f>
        <v/>
      </c>
      <c r="D18" s="6">
        <f>IFERROR(Data_Entry!C$19,"")</f>
        <v/>
      </c>
      <c r="E18" s="46">
        <f>IFERROR(Data_Entry!H$19,"")</f>
        <v/>
      </c>
      <c r="F18" s="47">
        <f>IFERROR(Data_Entry!L$19,"")</f>
        <v/>
      </c>
      <c r="G18" s="48">
        <f>IFERROR(Data_Entry!J$19,"")</f>
        <v/>
      </c>
      <c r="H18" s="32">
        <f>IFERROR(G18*E18/100,"")</f>
        <v/>
      </c>
      <c r="I18" s="32">
        <f>IFERROR(H18-F18*E18/100,"")</f>
        <v/>
      </c>
      <c r="J18" s="33">
        <f>IFERROR(I18/(F18*E18/100),"")</f>
        <v/>
      </c>
    </row>
    <row r="19" ht="18" customHeight="1">
      <c r="B19" s="7" t="n"/>
      <c r="C19" s="7">
        <f>IFERROR(Data_Entry!D$20,"")</f>
        <v/>
      </c>
      <c r="D19" s="7">
        <f>IFERROR(Data_Entry!C$20,"")</f>
        <v/>
      </c>
      <c r="E19" s="49">
        <f>IFERROR(Data_Entry!H$20,"")</f>
        <v/>
      </c>
      <c r="F19" s="50">
        <f>IFERROR(Data_Entry!L$20,"")</f>
        <v/>
      </c>
      <c r="G19" s="48">
        <f>IFERROR(Data_Entry!J$20,"")</f>
        <v/>
      </c>
      <c r="H19" s="32">
        <f>IFERROR(G19*E19/100,"")</f>
        <v/>
      </c>
      <c r="I19" s="32">
        <f>IFERROR(H19-F19*E19/100,"")</f>
        <v/>
      </c>
      <c r="J19" s="33">
        <f>IFERROR(I19/(F19*E19/100),"")</f>
        <v/>
      </c>
    </row>
    <row r="20" ht="18" customHeight="1">
      <c r="B20" s="6" t="n"/>
      <c r="C20" s="6">
        <f>IFERROR(Data_Entry!D$21,"")</f>
        <v/>
      </c>
      <c r="D20" s="6">
        <f>IFERROR(Data_Entry!C$21,"")</f>
        <v/>
      </c>
      <c r="E20" s="46">
        <f>IFERROR(Data_Entry!H$21,"")</f>
        <v/>
      </c>
      <c r="F20" s="47">
        <f>IFERROR(Data_Entry!L$21,"")</f>
        <v/>
      </c>
      <c r="G20" s="48">
        <f>IFERROR(Data_Entry!J$21,"")</f>
        <v/>
      </c>
      <c r="H20" s="32">
        <f>IFERROR(G20*E20/100,"")</f>
        <v/>
      </c>
      <c r="I20" s="32">
        <f>IFERROR(H20-F20*E20/100,"")</f>
        <v/>
      </c>
      <c r="J20" s="33">
        <f>IFERROR(I20/(F20*E20/100),"")</f>
        <v/>
      </c>
    </row>
    <row r="21" ht="18" customHeight="1">
      <c r="B21" s="7" t="n"/>
      <c r="C21" s="7">
        <f>IFERROR(Data_Entry!D$22,"")</f>
        <v/>
      </c>
      <c r="D21" s="7">
        <f>IFERROR(Data_Entry!C$22,"")</f>
        <v/>
      </c>
      <c r="E21" s="49">
        <f>IFERROR(Data_Entry!H$22,"")</f>
        <v/>
      </c>
      <c r="F21" s="50">
        <f>IFERROR(Data_Entry!L$22,"")</f>
        <v/>
      </c>
      <c r="G21" s="48">
        <f>IFERROR(Data_Entry!J$22,"")</f>
        <v/>
      </c>
      <c r="H21" s="32">
        <f>IFERROR(G21*E21/100,"")</f>
        <v/>
      </c>
      <c r="I21" s="32">
        <f>IFERROR(H21-F21*E21/100,"")</f>
        <v/>
      </c>
      <c r="J21" s="33">
        <f>IFERROR(I21/(F21*E21/100),"")</f>
        <v/>
      </c>
    </row>
    <row r="22" ht="18" customHeight="1">
      <c r="B22" s="6" t="n"/>
      <c r="C22" s="6">
        <f>IFERROR(Data_Entry!D$23,"")</f>
        <v/>
      </c>
      <c r="D22" s="6">
        <f>IFERROR(Data_Entry!C$23,"")</f>
        <v/>
      </c>
      <c r="E22" s="46">
        <f>IFERROR(Data_Entry!H$23,"")</f>
        <v/>
      </c>
      <c r="F22" s="47">
        <f>IFERROR(Data_Entry!L$23,"")</f>
        <v/>
      </c>
      <c r="G22" s="48">
        <f>IFERROR(Data_Entry!J$23,"")</f>
        <v/>
      </c>
      <c r="H22" s="32">
        <f>IFERROR(G22*E22/100,"")</f>
        <v/>
      </c>
      <c r="I22" s="32">
        <f>IFERROR(H22-F22*E22/100,"")</f>
        <v/>
      </c>
      <c r="J22" s="33">
        <f>IFERROR(I22/(F22*E22/100),"")</f>
        <v/>
      </c>
    </row>
    <row r="23" ht="18" customHeight="1">
      <c r="B23" s="7" t="n"/>
      <c r="C23" s="7">
        <f>IFERROR(Data_Entry!D$24,"")</f>
        <v/>
      </c>
      <c r="D23" s="7">
        <f>IFERROR(Data_Entry!C$24,"")</f>
        <v/>
      </c>
      <c r="E23" s="49">
        <f>IFERROR(Data_Entry!H$24,"")</f>
        <v/>
      </c>
      <c r="F23" s="50">
        <f>IFERROR(Data_Entry!L$24,"")</f>
        <v/>
      </c>
      <c r="G23" s="48">
        <f>IFERROR(Data_Entry!J$24,"")</f>
        <v/>
      </c>
      <c r="H23" s="32">
        <f>IFERROR(G23*E23/100,"")</f>
        <v/>
      </c>
      <c r="I23" s="32">
        <f>IFERROR(H23-F23*E23/100,"")</f>
        <v/>
      </c>
      <c r="J23" s="33">
        <f>IFERROR(I23/(F23*E23/100),"")</f>
        <v/>
      </c>
    </row>
    <row r="24" ht="18" customHeight="1">
      <c r="B24" s="6" t="n"/>
      <c r="C24" s="6">
        <f>IFERROR(Data_Entry!D$25,"")</f>
        <v/>
      </c>
      <c r="D24" s="6">
        <f>IFERROR(Data_Entry!C$25,"")</f>
        <v/>
      </c>
      <c r="E24" s="46">
        <f>IFERROR(Data_Entry!H$25,"")</f>
        <v/>
      </c>
      <c r="F24" s="47">
        <f>IFERROR(Data_Entry!L$25,"")</f>
        <v/>
      </c>
      <c r="G24" s="48">
        <f>IFERROR(Data_Entry!J$25,"")</f>
        <v/>
      </c>
      <c r="H24" s="32">
        <f>IFERROR(G24*E24/100,"")</f>
        <v/>
      </c>
      <c r="I24" s="32">
        <f>IFERROR(H24-F24*E24/100,"")</f>
        <v/>
      </c>
      <c r="J24" s="33">
        <f>IFERROR(I24/(F24*E24/100),"")</f>
        <v/>
      </c>
    </row>
    <row r="25" ht="18" customHeight="1">
      <c r="B25" s="7" t="n"/>
      <c r="C25" s="7">
        <f>IFERROR(Data_Entry!D$26,"")</f>
        <v/>
      </c>
      <c r="D25" s="7">
        <f>IFERROR(Data_Entry!C$26,"")</f>
        <v/>
      </c>
      <c r="E25" s="49">
        <f>IFERROR(Data_Entry!H$26,"")</f>
        <v/>
      </c>
      <c r="F25" s="50">
        <f>IFERROR(Data_Entry!L$26,"")</f>
        <v/>
      </c>
      <c r="G25" s="48">
        <f>IFERROR(Data_Entry!J$26,"")</f>
        <v/>
      </c>
      <c r="H25" s="32">
        <f>IFERROR(G25*E25/100,"")</f>
        <v/>
      </c>
      <c r="I25" s="32">
        <f>IFERROR(H25-F25*E25/100,"")</f>
        <v/>
      </c>
      <c r="J25" s="33">
        <f>IFERROR(I25/(F25*E25/100),"")</f>
        <v/>
      </c>
    </row>
    <row r="26" ht="18" customHeight="1">
      <c r="B26" s="6" t="n"/>
      <c r="C26" s="6">
        <f>IFERROR(Data_Entry!D$27,"")</f>
        <v/>
      </c>
      <c r="D26" s="6">
        <f>IFERROR(Data_Entry!C$27,"")</f>
        <v/>
      </c>
      <c r="E26" s="46">
        <f>IFERROR(Data_Entry!H$27,"")</f>
        <v/>
      </c>
      <c r="F26" s="47">
        <f>IFERROR(Data_Entry!L$27,"")</f>
        <v/>
      </c>
      <c r="G26" s="48">
        <f>IFERROR(Data_Entry!J$27,"")</f>
        <v/>
      </c>
      <c r="H26" s="32">
        <f>IFERROR(G26*E26/100,"")</f>
        <v/>
      </c>
      <c r="I26" s="32">
        <f>IFERROR(H26-F26*E26/100,"")</f>
        <v/>
      </c>
      <c r="J26" s="33">
        <f>IFERROR(I26/(F26*E26/100),"")</f>
        <v/>
      </c>
    </row>
    <row r="27" ht="18" customHeight="1">
      <c r="B27" s="7" t="n"/>
      <c r="C27" s="7">
        <f>IFERROR(Data_Entry!D$28,"")</f>
        <v/>
      </c>
      <c r="D27" s="7">
        <f>IFERROR(Data_Entry!C$28,"")</f>
        <v/>
      </c>
      <c r="E27" s="49">
        <f>IFERROR(Data_Entry!H$28,"")</f>
        <v/>
      </c>
      <c r="F27" s="50">
        <f>IFERROR(Data_Entry!L$28,"")</f>
        <v/>
      </c>
      <c r="G27" s="48">
        <f>IFERROR(Data_Entry!J$28,"")</f>
        <v/>
      </c>
      <c r="H27" s="32">
        <f>IFERROR(G27*E27/100,"")</f>
        <v/>
      </c>
      <c r="I27" s="32">
        <f>IFERROR(H27-F27*E27/100,"")</f>
        <v/>
      </c>
      <c r="J27" s="33">
        <f>IFERROR(I27/(F27*E27/100),"")</f>
        <v/>
      </c>
    </row>
    <row r="28" ht="18" customHeight="1">
      <c r="B28" s="6" t="n"/>
      <c r="C28" s="6">
        <f>IFERROR(Data_Entry!D$29,"")</f>
        <v/>
      </c>
      <c r="D28" s="6">
        <f>IFERROR(Data_Entry!C$29,"")</f>
        <v/>
      </c>
      <c r="E28" s="46">
        <f>IFERROR(Data_Entry!H$29,"")</f>
        <v/>
      </c>
      <c r="F28" s="47">
        <f>IFERROR(Data_Entry!L$29,"")</f>
        <v/>
      </c>
      <c r="G28" s="48">
        <f>IFERROR(Data_Entry!J$29,"")</f>
        <v/>
      </c>
      <c r="H28" s="32">
        <f>IFERROR(G28*E28/100,"")</f>
        <v/>
      </c>
      <c r="I28" s="32">
        <f>IFERROR(H28-F28*E28/100,"")</f>
        <v/>
      </c>
      <c r="J28" s="33">
        <f>IFERROR(I28/(F28*E28/100),"")</f>
        <v/>
      </c>
    </row>
    <row r="29" ht="18" customHeight="1">
      <c r="B29" s="7" t="n"/>
      <c r="C29" s="7">
        <f>IFERROR(Data_Entry!D$30,"")</f>
        <v/>
      </c>
      <c r="D29" s="7">
        <f>IFERROR(Data_Entry!C$30,"")</f>
        <v/>
      </c>
      <c r="E29" s="49">
        <f>IFERROR(Data_Entry!H$30,"")</f>
        <v/>
      </c>
      <c r="F29" s="50">
        <f>IFERROR(Data_Entry!L$30,"")</f>
        <v/>
      </c>
      <c r="G29" s="48">
        <f>IFERROR(Data_Entry!J$30,"")</f>
        <v/>
      </c>
      <c r="H29" s="32">
        <f>IFERROR(G29*E29/100,"")</f>
        <v/>
      </c>
      <c r="I29" s="32">
        <f>IFERROR(H29-F29*E29/100,"")</f>
        <v/>
      </c>
      <c r="J29" s="33">
        <f>IFERROR(I29/(F29*E29/100),"")</f>
        <v/>
      </c>
    </row>
    <row r="30" ht="18" customHeight="1">
      <c r="B30" s="6" t="n"/>
      <c r="C30" s="6">
        <f>IFERROR(Data_Entry!D$31,"")</f>
        <v/>
      </c>
      <c r="D30" s="6">
        <f>IFERROR(Data_Entry!C$31,"")</f>
        <v/>
      </c>
      <c r="E30" s="46">
        <f>IFERROR(Data_Entry!H$31,"")</f>
        <v/>
      </c>
      <c r="F30" s="47">
        <f>IFERROR(Data_Entry!L$31,"")</f>
        <v/>
      </c>
      <c r="G30" s="48">
        <f>IFERROR(Data_Entry!J$31,"")</f>
        <v/>
      </c>
      <c r="H30" s="32">
        <f>IFERROR(G30*E30/100,"")</f>
        <v/>
      </c>
      <c r="I30" s="32">
        <f>IFERROR(H30-F30*E30/100,"")</f>
        <v/>
      </c>
      <c r="J30" s="33">
        <f>IFERROR(I30/(F30*E30/100),"")</f>
        <v/>
      </c>
    </row>
    <row r="31" ht="18" customHeight="1">
      <c r="B31" s="7" t="n"/>
      <c r="C31" s="7">
        <f>IFERROR(Data_Entry!D$32,"")</f>
        <v/>
      </c>
      <c r="D31" s="7">
        <f>IFERROR(Data_Entry!C$32,"")</f>
        <v/>
      </c>
      <c r="E31" s="49">
        <f>IFERROR(Data_Entry!H$32,"")</f>
        <v/>
      </c>
      <c r="F31" s="50">
        <f>IFERROR(Data_Entry!L$32,"")</f>
        <v/>
      </c>
      <c r="G31" s="48">
        <f>IFERROR(Data_Entry!J$32,"")</f>
        <v/>
      </c>
      <c r="H31" s="32">
        <f>IFERROR(G31*E31/100,"")</f>
        <v/>
      </c>
      <c r="I31" s="32">
        <f>IFERROR(H31-F31*E31/100,"")</f>
        <v/>
      </c>
      <c r="J31" s="33">
        <f>IFERROR(I31/(F31*E31/100),"")</f>
        <v/>
      </c>
    </row>
    <row r="32" ht="18" customHeight="1">
      <c r="B32" s="6" t="n"/>
      <c r="C32" s="6">
        <f>IFERROR(Data_Entry!D$33,"")</f>
        <v/>
      </c>
      <c r="D32" s="6">
        <f>IFERROR(Data_Entry!C$33,"")</f>
        <v/>
      </c>
      <c r="E32" s="46">
        <f>IFERROR(Data_Entry!H$33,"")</f>
        <v/>
      </c>
      <c r="F32" s="47">
        <f>IFERROR(Data_Entry!L$33,"")</f>
        <v/>
      </c>
      <c r="G32" s="48">
        <f>IFERROR(Data_Entry!J$33,"")</f>
        <v/>
      </c>
      <c r="H32" s="32">
        <f>IFERROR(G32*E32/100,"")</f>
        <v/>
      </c>
      <c r="I32" s="32">
        <f>IFERROR(H32-F32*E32/100,"")</f>
        <v/>
      </c>
      <c r="J32" s="33">
        <f>IFERROR(I32/(F32*E32/100),"")</f>
        <v/>
      </c>
    </row>
    <row r="33" ht="18" customHeight="1">
      <c r="B33" s="7" t="n"/>
      <c r="C33" s="7">
        <f>IFERROR(Data_Entry!D$34,"")</f>
        <v/>
      </c>
      <c r="D33" s="7">
        <f>IFERROR(Data_Entry!C$34,"")</f>
        <v/>
      </c>
      <c r="E33" s="49">
        <f>IFERROR(Data_Entry!H$34,"")</f>
        <v/>
      </c>
      <c r="F33" s="50">
        <f>IFERROR(Data_Entry!L$34,"")</f>
        <v/>
      </c>
      <c r="G33" s="48">
        <f>IFERROR(Data_Entry!J$34,"")</f>
        <v/>
      </c>
      <c r="H33" s="32">
        <f>IFERROR(G33*E33/100,"")</f>
        <v/>
      </c>
      <c r="I33" s="32">
        <f>IFERROR(H33-F33*E33/100,"")</f>
        <v/>
      </c>
      <c r="J33" s="33">
        <f>IFERROR(I33/(F33*E33/100),"")</f>
        <v/>
      </c>
    </row>
    <row r="34" ht="18" customHeight="1">
      <c r="B34" s="6" t="n"/>
      <c r="C34" s="6">
        <f>IFERROR(Data_Entry!D$35,"")</f>
        <v/>
      </c>
      <c r="D34" s="6">
        <f>IFERROR(Data_Entry!C$35,"")</f>
        <v/>
      </c>
      <c r="E34" s="46">
        <f>IFERROR(Data_Entry!H$35,"")</f>
        <v/>
      </c>
      <c r="F34" s="47">
        <f>IFERROR(Data_Entry!L$35,"")</f>
        <v/>
      </c>
      <c r="G34" s="48">
        <f>IFERROR(Data_Entry!J$35,"")</f>
        <v/>
      </c>
      <c r="H34" s="32">
        <f>IFERROR(G34*E34/100,"")</f>
        <v/>
      </c>
      <c r="I34" s="32">
        <f>IFERROR(H34-F34*E34/100,"")</f>
        <v/>
      </c>
      <c r="J34" s="33">
        <f>IFERROR(I34/(F34*E34/100),"")</f>
        <v/>
      </c>
    </row>
    <row r="35" ht="18" customHeight="1">
      <c r="B35" s="7" t="n"/>
      <c r="C35" s="7">
        <f>IFERROR(Data_Entry!D$36,"")</f>
        <v/>
      </c>
      <c r="D35" s="7">
        <f>IFERROR(Data_Entry!C$36,"")</f>
        <v/>
      </c>
      <c r="E35" s="49">
        <f>IFERROR(Data_Entry!H$36,"")</f>
        <v/>
      </c>
      <c r="F35" s="50">
        <f>IFERROR(Data_Entry!L$36,"")</f>
        <v/>
      </c>
      <c r="G35" s="48">
        <f>IFERROR(Data_Entry!J$36,"")</f>
        <v/>
      </c>
      <c r="H35" s="32">
        <f>IFERROR(G35*E35/100,"")</f>
        <v/>
      </c>
      <c r="I35" s="32">
        <f>IFERROR(H35-F35*E35/100,"")</f>
        <v/>
      </c>
      <c r="J35" s="33">
        <f>IFERROR(I35/(F35*E35/100),"")</f>
        <v/>
      </c>
    </row>
    <row r="36" ht="18" customHeight="1">
      <c r="B36" s="6" t="n"/>
      <c r="C36" s="6">
        <f>IFERROR(Data_Entry!D$37,"")</f>
        <v/>
      </c>
      <c r="D36" s="6">
        <f>IFERROR(Data_Entry!C$37,"")</f>
        <v/>
      </c>
      <c r="E36" s="46">
        <f>IFERROR(Data_Entry!H$37,"")</f>
        <v/>
      </c>
      <c r="F36" s="47">
        <f>IFERROR(Data_Entry!L$37,"")</f>
        <v/>
      </c>
      <c r="G36" s="48">
        <f>IFERROR(Data_Entry!J$37,"")</f>
        <v/>
      </c>
      <c r="H36" s="32">
        <f>IFERROR(G36*E36/100,"")</f>
        <v/>
      </c>
      <c r="I36" s="32">
        <f>IFERROR(H36-F36*E36/100,"")</f>
        <v/>
      </c>
      <c r="J36" s="33">
        <f>IFERROR(I36/(F36*E36/100),"")</f>
        <v/>
      </c>
    </row>
    <row r="37" ht="18" customHeight="1">
      <c r="B37" s="7" t="n"/>
      <c r="C37" s="7">
        <f>IFERROR(Data_Entry!D$38,"")</f>
        <v/>
      </c>
      <c r="D37" s="7">
        <f>IFERROR(Data_Entry!C$38,"")</f>
        <v/>
      </c>
      <c r="E37" s="49">
        <f>IFERROR(Data_Entry!H$38,"")</f>
        <v/>
      </c>
      <c r="F37" s="50">
        <f>IFERROR(Data_Entry!L$38,"")</f>
        <v/>
      </c>
      <c r="G37" s="48">
        <f>IFERROR(Data_Entry!J$38,"")</f>
        <v/>
      </c>
      <c r="H37" s="32">
        <f>IFERROR(G37*E37/100,"")</f>
        <v/>
      </c>
      <c r="I37" s="32">
        <f>IFERROR(H37-F37*E37/100,"")</f>
        <v/>
      </c>
      <c r="J37" s="33">
        <f>IFERROR(I37/(F37*E37/100),"")</f>
        <v/>
      </c>
    </row>
    <row r="38" ht="18" customHeight="1">
      <c r="B38" s="6" t="n"/>
      <c r="C38" s="6">
        <f>IFERROR(Data_Entry!D$39,"")</f>
        <v/>
      </c>
      <c r="D38" s="6">
        <f>IFERROR(Data_Entry!C$39,"")</f>
        <v/>
      </c>
      <c r="E38" s="46">
        <f>IFERROR(Data_Entry!H$39,"")</f>
        <v/>
      </c>
      <c r="F38" s="47">
        <f>IFERROR(Data_Entry!L$39,"")</f>
        <v/>
      </c>
      <c r="G38" s="48">
        <f>IFERROR(Data_Entry!J$39,"")</f>
        <v/>
      </c>
      <c r="H38" s="32">
        <f>IFERROR(G38*E38/100,"")</f>
        <v/>
      </c>
      <c r="I38" s="32">
        <f>IFERROR(H38-F38*E38/100,"")</f>
        <v/>
      </c>
      <c r="J38" s="33">
        <f>IFERROR(I38/(F38*E38/100),"")</f>
        <v/>
      </c>
    </row>
    <row r="39" ht="18" customHeight="1">
      <c r="B39" s="7" t="n"/>
      <c r="C39" s="7">
        <f>IFERROR(Data_Entry!D$40,"")</f>
        <v/>
      </c>
      <c r="D39" s="7">
        <f>IFERROR(Data_Entry!C$40,"")</f>
        <v/>
      </c>
      <c r="E39" s="49">
        <f>IFERROR(Data_Entry!H$40,"")</f>
        <v/>
      </c>
      <c r="F39" s="50">
        <f>IFERROR(Data_Entry!L$40,"")</f>
        <v/>
      </c>
      <c r="G39" s="48">
        <f>IFERROR(Data_Entry!J$40,"")</f>
        <v/>
      </c>
      <c r="H39" s="32">
        <f>IFERROR(G39*E39/100,"")</f>
        <v/>
      </c>
      <c r="I39" s="32">
        <f>IFERROR(H39-F39*E39/100,"")</f>
        <v/>
      </c>
      <c r="J39" s="33">
        <f>IFERROR(I39/(F39*E39/100),"")</f>
        <v/>
      </c>
    </row>
    <row r="40" ht="18" customHeight="1">
      <c r="B40" s="6" t="n"/>
      <c r="C40" s="6">
        <f>IFERROR(Data_Entry!D$41,"")</f>
        <v/>
      </c>
      <c r="D40" s="6">
        <f>IFERROR(Data_Entry!C$41,"")</f>
        <v/>
      </c>
      <c r="E40" s="46">
        <f>IFERROR(Data_Entry!H$41,"")</f>
        <v/>
      </c>
      <c r="F40" s="47">
        <f>IFERROR(Data_Entry!L$41,"")</f>
        <v/>
      </c>
      <c r="G40" s="48">
        <f>IFERROR(Data_Entry!J$41,"")</f>
        <v/>
      </c>
      <c r="H40" s="32">
        <f>IFERROR(G40*E40/100,"")</f>
        <v/>
      </c>
      <c r="I40" s="32">
        <f>IFERROR(H40-F40*E40/100,"")</f>
        <v/>
      </c>
      <c r="J40" s="33">
        <f>IFERROR(I40/(F40*E40/100),"")</f>
        <v/>
      </c>
    </row>
    <row r="41" ht="18" customHeight="1">
      <c r="B41" s="7" t="n"/>
      <c r="C41" s="7">
        <f>IFERROR(Data_Entry!D$42,"")</f>
        <v/>
      </c>
      <c r="D41" s="7">
        <f>IFERROR(Data_Entry!C$42,"")</f>
        <v/>
      </c>
      <c r="E41" s="49">
        <f>IFERROR(Data_Entry!H$42,"")</f>
        <v/>
      </c>
      <c r="F41" s="50">
        <f>IFERROR(Data_Entry!L$42,"")</f>
        <v/>
      </c>
      <c r="G41" s="48">
        <f>IFERROR(Data_Entry!J$42,"")</f>
        <v/>
      </c>
      <c r="H41" s="32">
        <f>IFERROR(G41*E41/100,"")</f>
        <v/>
      </c>
      <c r="I41" s="32">
        <f>IFERROR(H41-F41*E41/100,"")</f>
        <v/>
      </c>
      <c r="J41" s="33">
        <f>IFERROR(I41/(F41*E41/100),"")</f>
        <v/>
      </c>
    </row>
    <row r="42" ht="18" customHeight="1">
      <c r="B42" s="6" t="n"/>
      <c r="C42" s="6">
        <f>IFERROR(Data_Entry!D$43,"")</f>
        <v/>
      </c>
      <c r="D42" s="6">
        <f>IFERROR(Data_Entry!C$43,"")</f>
        <v/>
      </c>
      <c r="E42" s="46">
        <f>IFERROR(Data_Entry!H$43,"")</f>
        <v/>
      </c>
      <c r="F42" s="47">
        <f>IFERROR(Data_Entry!L$43,"")</f>
        <v/>
      </c>
      <c r="G42" s="48">
        <f>IFERROR(Data_Entry!J$43,"")</f>
        <v/>
      </c>
      <c r="H42" s="32">
        <f>IFERROR(G42*E42/100,"")</f>
        <v/>
      </c>
      <c r="I42" s="32">
        <f>IFERROR(H42-F42*E42/100,"")</f>
        <v/>
      </c>
      <c r="J42" s="33">
        <f>IFERROR(I42/(F42*E42/100),"")</f>
        <v/>
      </c>
    </row>
    <row r="43" ht="18" customHeight="1">
      <c r="B43" s="7" t="n"/>
      <c r="C43" s="7">
        <f>IFERROR(Data_Entry!D$44,"")</f>
        <v/>
      </c>
      <c r="D43" s="7">
        <f>IFERROR(Data_Entry!C$44,"")</f>
        <v/>
      </c>
      <c r="E43" s="49">
        <f>IFERROR(Data_Entry!H$44,"")</f>
        <v/>
      </c>
      <c r="F43" s="50">
        <f>IFERROR(Data_Entry!L$44,"")</f>
        <v/>
      </c>
      <c r="G43" s="48">
        <f>IFERROR(Data_Entry!J$44,"")</f>
        <v/>
      </c>
      <c r="H43" s="32">
        <f>IFERROR(G43*E43/100,"")</f>
        <v/>
      </c>
      <c r="I43" s="32">
        <f>IFERROR(H43-F43*E43/100,"")</f>
        <v/>
      </c>
      <c r="J43" s="33">
        <f>IFERROR(I43/(F43*E43/100),"")</f>
        <v/>
      </c>
    </row>
    <row r="44" ht="18" customHeight="1">
      <c r="B44" s="6" t="n"/>
      <c r="C44" s="6">
        <f>IFERROR(Data_Entry!D$45,"")</f>
        <v/>
      </c>
      <c r="D44" s="6">
        <f>IFERROR(Data_Entry!C$45,"")</f>
        <v/>
      </c>
      <c r="E44" s="46">
        <f>IFERROR(Data_Entry!H$45,"")</f>
        <v/>
      </c>
      <c r="F44" s="47">
        <f>IFERROR(Data_Entry!L$45,"")</f>
        <v/>
      </c>
      <c r="G44" s="48">
        <f>IFERROR(Data_Entry!J$45,"")</f>
        <v/>
      </c>
      <c r="H44" s="32">
        <f>IFERROR(G44*E44/100,"")</f>
        <v/>
      </c>
      <c r="I44" s="32">
        <f>IFERROR(H44-F44*E44/100,"")</f>
        <v/>
      </c>
      <c r="J44" s="33">
        <f>IFERROR(I44/(F44*E44/100),"")</f>
        <v/>
      </c>
    </row>
    <row r="45" ht="18" customHeight="1">
      <c r="B45" s="7" t="n"/>
      <c r="C45" s="7">
        <f>IFERROR(Data_Entry!D$46,"")</f>
        <v/>
      </c>
      <c r="D45" s="7">
        <f>IFERROR(Data_Entry!C$46,"")</f>
        <v/>
      </c>
      <c r="E45" s="49">
        <f>IFERROR(Data_Entry!H$46,"")</f>
        <v/>
      </c>
      <c r="F45" s="50">
        <f>IFERROR(Data_Entry!L$46,"")</f>
        <v/>
      </c>
      <c r="G45" s="48">
        <f>IFERROR(Data_Entry!J$46,"")</f>
        <v/>
      </c>
      <c r="H45" s="32">
        <f>IFERROR(G45*E45/100,"")</f>
        <v/>
      </c>
      <c r="I45" s="32">
        <f>IFERROR(H45-F45*E45/100,"")</f>
        <v/>
      </c>
      <c r="J45" s="33">
        <f>IFERROR(I45/(F45*E45/100),"")</f>
        <v/>
      </c>
    </row>
    <row r="46" ht="18" customHeight="1">
      <c r="B46" s="6" t="n"/>
      <c r="C46" s="6">
        <f>IFERROR(Data_Entry!D$47,"")</f>
        <v/>
      </c>
      <c r="D46" s="6">
        <f>IFERROR(Data_Entry!C$47,"")</f>
        <v/>
      </c>
      <c r="E46" s="46">
        <f>IFERROR(Data_Entry!H$47,"")</f>
        <v/>
      </c>
      <c r="F46" s="47">
        <f>IFERROR(Data_Entry!L$47,"")</f>
        <v/>
      </c>
      <c r="G46" s="48">
        <f>IFERROR(Data_Entry!J$47,"")</f>
        <v/>
      </c>
      <c r="H46" s="32">
        <f>IFERROR(G46*E46/100,"")</f>
        <v/>
      </c>
      <c r="I46" s="32">
        <f>IFERROR(H46-F46*E46/100,"")</f>
        <v/>
      </c>
      <c r="J46" s="33">
        <f>IFERROR(I46/(F46*E46/100),"")</f>
        <v/>
      </c>
    </row>
    <row r="47" ht="18" customHeight="1">
      <c r="B47" s="7" t="n"/>
      <c r="C47" s="7">
        <f>IFERROR(Data_Entry!D$48,"")</f>
        <v/>
      </c>
      <c r="D47" s="7">
        <f>IFERROR(Data_Entry!C$48,"")</f>
        <v/>
      </c>
      <c r="E47" s="49">
        <f>IFERROR(Data_Entry!H$48,"")</f>
        <v/>
      </c>
      <c r="F47" s="50">
        <f>IFERROR(Data_Entry!L$48,"")</f>
        <v/>
      </c>
      <c r="G47" s="48">
        <f>IFERROR(Data_Entry!J$48,"")</f>
        <v/>
      </c>
      <c r="H47" s="32">
        <f>IFERROR(G47*E47/100,"")</f>
        <v/>
      </c>
      <c r="I47" s="32">
        <f>IFERROR(H47-F47*E47/100,"")</f>
        <v/>
      </c>
      <c r="J47" s="33">
        <f>IFERROR(I47/(F47*E47/100),"")</f>
        <v/>
      </c>
    </row>
    <row r="48" ht="18" customHeight="1">
      <c r="B48" s="6" t="n"/>
      <c r="C48" s="6">
        <f>IFERROR(Data_Entry!D$49,"")</f>
        <v/>
      </c>
      <c r="D48" s="6">
        <f>IFERROR(Data_Entry!C$49,"")</f>
        <v/>
      </c>
      <c r="E48" s="46">
        <f>IFERROR(Data_Entry!H$49,"")</f>
        <v/>
      </c>
      <c r="F48" s="47">
        <f>IFERROR(Data_Entry!L$49,"")</f>
        <v/>
      </c>
      <c r="G48" s="48">
        <f>IFERROR(Data_Entry!J$49,"")</f>
        <v/>
      </c>
      <c r="H48" s="32">
        <f>IFERROR(G48*E48/100,"")</f>
        <v/>
      </c>
      <c r="I48" s="32">
        <f>IFERROR(H48-F48*E48/100,"")</f>
        <v/>
      </c>
      <c r="J48" s="33">
        <f>IFERROR(I48/(F48*E48/100),"")</f>
        <v/>
      </c>
    </row>
    <row r="49" ht="18" customHeight="1">
      <c r="B49" s="7" t="n"/>
      <c r="C49" s="7">
        <f>IFERROR(Data_Entry!D$50,"")</f>
        <v/>
      </c>
      <c r="D49" s="7">
        <f>IFERROR(Data_Entry!C$50,"")</f>
        <v/>
      </c>
      <c r="E49" s="49">
        <f>IFERROR(Data_Entry!H$50,"")</f>
        <v/>
      </c>
      <c r="F49" s="50">
        <f>IFERROR(Data_Entry!L$50,"")</f>
        <v/>
      </c>
      <c r="G49" s="48">
        <f>IFERROR(Data_Entry!J$50,"")</f>
        <v/>
      </c>
      <c r="H49" s="32">
        <f>IFERROR(G49*E49/100,"")</f>
        <v/>
      </c>
      <c r="I49" s="32">
        <f>IFERROR(H49-F49*E49/100,"")</f>
        <v/>
      </c>
      <c r="J49" s="33">
        <f>IFERROR(I49/(F49*E49/100),"")</f>
        <v/>
      </c>
    </row>
    <row r="50" ht="18" customHeight="1">
      <c r="B50" s="6" t="n"/>
      <c r="C50" s="6">
        <f>IFERROR(Data_Entry!D$51,"")</f>
        <v/>
      </c>
      <c r="D50" s="6">
        <f>IFERROR(Data_Entry!C$51,"")</f>
        <v/>
      </c>
      <c r="E50" s="46">
        <f>IFERROR(Data_Entry!H$51,"")</f>
        <v/>
      </c>
      <c r="F50" s="47">
        <f>IFERROR(Data_Entry!L$51,"")</f>
        <v/>
      </c>
      <c r="G50" s="48">
        <f>IFERROR(Data_Entry!J$51,"")</f>
        <v/>
      </c>
      <c r="H50" s="32">
        <f>IFERROR(G50*E50/100,"")</f>
        <v/>
      </c>
      <c r="I50" s="32">
        <f>IFERROR(H50-F50*E50/100,"")</f>
        <v/>
      </c>
      <c r="J50" s="33">
        <f>IFERROR(I50/(F50*E50/100),"")</f>
        <v/>
      </c>
    </row>
    <row r="51" ht="18" customHeight="1">
      <c r="B51" s="7" t="n"/>
      <c r="C51" s="7">
        <f>IFERROR(Data_Entry!D$52,"")</f>
        <v/>
      </c>
      <c r="D51" s="7">
        <f>IFERROR(Data_Entry!C$52,"")</f>
        <v/>
      </c>
      <c r="E51" s="49">
        <f>IFERROR(Data_Entry!H$52,"")</f>
        <v/>
      </c>
      <c r="F51" s="50">
        <f>IFERROR(Data_Entry!L$52,"")</f>
        <v/>
      </c>
      <c r="G51" s="48">
        <f>IFERROR(Data_Entry!J$52,"")</f>
        <v/>
      </c>
      <c r="H51" s="32">
        <f>IFERROR(G51*E51/100,"")</f>
        <v/>
      </c>
      <c r="I51" s="32">
        <f>IFERROR(H51-F51*E51/100,"")</f>
        <v/>
      </c>
      <c r="J51" s="33">
        <f>IFERROR(I51/(F51*E51/100),"")</f>
        <v/>
      </c>
    </row>
    <row r="52" ht="18" customHeight="1">
      <c r="B52" s="6" t="n"/>
      <c r="C52" s="6">
        <f>IFERROR(Data_Entry!D$53,"")</f>
        <v/>
      </c>
      <c r="D52" s="6">
        <f>IFERROR(Data_Entry!C$53,"")</f>
        <v/>
      </c>
      <c r="E52" s="46">
        <f>IFERROR(Data_Entry!H$53,"")</f>
        <v/>
      </c>
      <c r="F52" s="47">
        <f>IFERROR(Data_Entry!L$53,"")</f>
        <v/>
      </c>
      <c r="G52" s="48">
        <f>IFERROR(Data_Entry!J$53,"")</f>
        <v/>
      </c>
      <c r="H52" s="32">
        <f>IFERROR(G52*E52/100,"")</f>
        <v/>
      </c>
      <c r="I52" s="32">
        <f>IFERROR(H52-F52*E52/100,"")</f>
        <v/>
      </c>
      <c r="J52" s="33">
        <f>IFERROR(I52/(F52*E52/100),"")</f>
        <v/>
      </c>
    </row>
    <row r="53" ht="18" customHeight="1">
      <c r="B53" s="7" t="n"/>
      <c r="C53" s="7">
        <f>IFERROR(Data_Entry!D$54,"")</f>
        <v/>
      </c>
      <c r="D53" s="7">
        <f>IFERROR(Data_Entry!C$54,"")</f>
        <v/>
      </c>
      <c r="E53" s="49">
        <f>IFERROR(Data_Entry!H$54,"")</f>
        <v/>
      </c>
      <c r="F53" s="50">
        <f>IFERROR(Data_Entry!L$54,"")</f>
        <v/>
      </c>
      <c r="G53" s="48">
        <f>IFERROR(Data_Entry!J$54,"")</f>
        <v/>
      </c>
      <c r="H53" s="32">
        <f>IFERROR(G53*E53/100,"")</f>
        <v/>
      </c>
      <c r="I53" s="32">
        <f>IFERROR(H53-F53*E53/100,"")</f>
        <v/>
      </c>
      <c r="J53" s="33">
        <f>IFERROR(I53/(F53*E53/100),"")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6" customWidth="1" min="5" max="5"/>
    <col width="16" customWidth="1" min="6" max="6"/>
    <col width="20" customWidth="1" min="7" max="7"/>
  </cols>
  <sheetData>
    <row r="1" ht="34" customHeight="1">
      <c r="B1" s="26" t="inlineStr">
        <is>
          <t>ALERTS &amp; THRESHOLD MONITORING</t>
        </is>
      </c>
    </row>
    <row r="2" ht="20" customHeight="1">
      <c r="B2" s="45" t="inlineStr">
        <is>
          <t>Set yield/spread/basis-point thresholds below. Enter trigger values in YELLOW. Alerts generate when current &gt; threshold (RED = breach).</t>
        </is>
      </c>
    </row>
    <row r="4" ht="24" customHeight="1">
      <c r="B4" s="28" t="inlineStr">
        <is>
          <t>YIELD BREACHES</t>
        </is>
      </c>
      <c r="C4" s="29" t="n"/>
      <c r="D4" s="29" t="n"/>
      <c r="E4" s="29" t="n"/>
      <c r="F4" s="29" t="n"/>
      <c r="G4" s="30" t="n"/>
    </row>
    <row r="5" ht="20" customHeight="1">
      <c r="B5" s="3" t="inlineStr">
        <is>
          <t>Alert Name</t>
        </is>
      </c>
      <c r="C5" s="3" t="inlineStr">
        <is>
          <t>Metric</t>
        </is>
      </c>
      <c r="D5" s="3" t="inlineStr">
        <is>
          <t>Direction</t>
        </is>
      </c>
      <c r="E5" s="3" t="inlineStr">
        <is>
          <t>Threshold (Enter)</t>
        </is>
      </c>
      <c r="F5" s="3" t="inlineStr">
        <is>
          <t>Current Value</t>
        </is>
      </c>
      <c r="G5" s="3" t="inlineStr">
        <is>
          <t>Status</t>
        </is>
      </c>
    </row>
    <row r="6" ht="20" customHeight="1">
      <c r="B6" s="51" t="inlineStr">
        <is>
          <t>Max portfolio yield drop</t>
        </is>
      </c>
      <c r="C6" s="51" t="inlineStr">
        <is>
          <t>Yield</t>
        </is>
      </c>
      <c r="D6" s="51" t="inlineStr">
        <is>
          <t>Below</t>
        </is>
      </c>
      <c r="E6" s="52" t="n">
        <v>0.05</v>
      </c>
      <c r="F6" s="53" t="inlineStr"/>
      <c r="G6" s="54">
        <f>IF(E6="","",IF(D6="Above",IF(F6&gt;E6,"⚠ BREACH","✅ OK"),IF(F6&lt;E6,"⚠ BREACH","✅ OK")))</f>
        <v/>
      </c>
    </row>
    <row r="7" ht="20" customHeight="1">
      <c r="B7" s="51" t="inlineStr">
        <is>
          <t>Max portfolio yield spike</t>
        </is>
      </c>
      <c r="C7" s="51" t="inlineStr">
        <is>
          <t>Yield</t>
        </is>
      </c>
      <c r="D7" s="51" t="inlineStr">
        <is>
          <t>Above</t>
        </is>
      </c>
      <c r="E7" s="52" t="n">
        <v>0.12</v>
      </c>
      <c r="F7" s="53" t="inlineStr"/>
      <c r="G7" s="54">
        <f>IF(E7="","",IF(D7="Above",IF(F7&gt;E7,"⚠ BREACH","✅ OK"),IF(F7&lt;E7,"⚠ BREACH","✅ OK")))</f>
        <v/>
      </c>
    </row>
    <row r="9" ht="24" customHeight="1">
      <c r="B9" s="28" t="inlineStr">
        <is>
          <t>SPREAD ALERTS</t>
        </is>
      </c>
      <c r="C9" s="29" t="n"/>
      <c r="D9" s="29" t="n"/>
      <c r="E9" s="29" t="n"/>
      <c r="F9" s="29" t="n"/>
      <c r="G9" s="30" t="n"/>
    </row>
    <row r="10" ht="20" customHeight="1">
      <c r="B10" s="3" t="inlineStr">
        <is>
          <t>Alert Name</t>
        </is>
      </c>
      <c r="C10" s="3" t="inlineStr">
        <is>
          <t>Metric</t>
        </is>
      </c>
      <c r="D10" s="3" t="inlineStr">
        <is>
          <t>Direction</t>
        </is>
      </c>
      <c r="E10" s="3" t="inlineStr">
        <is>
          <t>Threshold (Enter)</t>
        </is>
      </c>
      <c r="F10" s="3" t="inlineStr">
        <is>
          <t>Current Value</t>
        </is>
      </c>
      <c r="G10" s="3" t="inlineStr">
        <is>
          <t>Status</t>
        </is>
      </c>
    </row>
    <row r="11" ht="20" customHeight="1">
      <c r="B11" s="51" t="inlineStr">
        <is>
          <t>NCD spread over G-Sec (max)</t>
        </is>
      </c>
      <c r="C11" s="51" t="inlineStr">
        <is>
          <t>Spread vs G-Sec</t>
        </is>
      </c>
      <c r="D11" s="51" t="inlineStr">
        <is>
          <t>Above</t>
        </is>
      </c>
      <c r="E11" s="55" t="n">
        <v>200</v>
      </c>
      <c r="F11" s="56" t="inlineStr"/>
      <c r="G11" s="54">
        <f>IF(E11="","",IF(D11="Above",IF(F11&gt;E11,"⚠ BREACH","✅ OK"),IF(F11&lt;E11,"⚠ BREACH","✅ OK")))</f>
        <v/>
      </c>
    </row>
    <row r="12" ht="20" customHeight="1">
      <c r="B12" s="51" t="inlineStr">
        <is>
          <t>CP spread over G-Sec (max)</t>
        </is>
      </c>
      <c r="C12" s="51" t="inlineStr">
        <is>
          <t>Spread vs G-Sec</t>
        </is>
      </c>
      <c r="D12" s="51" t="inlineStr">
        <is>
          <t>Above</t>
        </is>
      </c>
      <c r="E12" s="55" t="n">
        <v>150</v>
      </c>
      <c r="F12" s="56" t="inlineStr"/>
      <c r="G12" s="54">
        <f>IF(E12="","",IF(D12="Above",IF(F12&gt;E12,"⚠ BREACH","✅ OK"),IF(F12&lt;E12,"⚠ BREACH","✅ OK")))</f>
        <v/>
      </c>
    </row>
    <row r="14" ht="24" customHeight="1">
      <c r="B14" s="28" t="inlineStr">
        <is>
          <t>MTM ALERTS</t>
        </is>
      </c>
      <c r="C14" s="29" t="n"/>
      <c r="D14" s="29" t="n"/>
      <c r="E14" s="29" t="n"/>
      <c r="F14" s="29" t="n"/>
      <c r="G14" s="30" t="n"/>
    </row>
    <row r="15" ht="20" customHeight="1">
      <c r="B15" s="3" t="inlineStr">
        <is>
          <t>Alert Name</t>
        </is>
      </c>
      <c r="C15" s="3" t="inlineStr">
        <is>
          <t>Metric</t>
        </is>
      </c>
      <c r="D15" s="3" t="inlineStr">
        <is>
          <t>Direction</t>
        </is>
      </c>
      <c r="E15" s="3" t="inlineStr">
        <is>
          <t>Threshold (Enter)</t>
        </is>
      </c>
      <c r="F15" s="3" t="inlineStr">
        <is>
          <t>Current Value</t>
        </is>
      </c>
      <c r="G15" s="3" t="inlineStr">
        <is>
          <t>Status</t>
        </is>
      </c>
    </row>
    <row r="16" ht="20" customHeight="1">
      <c r="B16" s="51" t="inlineStr">
        <is>
          <t>Daily MTM drop (₹ Cr)</t>
        </is>
      </c>
      <c r="C16" s="51" t="inlineStr">
        <is>
          <t>MTM Unrealised G/L</t>
        </is>
      </c>
      <c r="D16" s="51" t="inlineStr">
        <is>
          <t>Below</t>
        </is>
      </c>
      <c r="E16" s="57" t="n">
        <v>-5</v>
      </c>
      <c r="F16" s="46" t="inlineStr"/>
      <c r="G16" s="54">
        <f>IF(E16="","",IF(D16="Above",IF(F16&gt;E16,"⚠ BREACH","✅ OK"),IF(F16&lt;E16,"⚠ BREACH","✅ OK")))</f>
        <v/>
      </c>
    </row>
    <row r="17" ht="20" customHeight="1">
      <c r="B17" s="51" t="inlineStr">
        <is>
          <t>Daily MTM gain (₹ Cr)</t>
        </is>
      </c>
      <c r="C17" s="51" t="inlineStr">
        <is>
          <t>MTM Unrealised G/L</t>
        </is>
      </c>
      <c r="D17" s="51" t="inlineStr">
        <is>
          <t>Above</t>
        </is>
      </c>
      <c r="E17" s="57" t="n">
        <v>5</v>
      </c>
      <c r="F17" s="46" t="inlineStr"/>
      <c r="G17" s="54">
        <f>IF(E17="","",IF(D17="Above",IF(F17&gt;E17,"⚠ BREACH","✅ OK"),IF(F17&lt;E17,"⚠ BREACH","✅ OK")))</f>
        <v/>
      </c>
    </row>
    <row r="19" ht="24" customHeight="1">
      <c r="B19" s="28" t="inlineStr">
        <is>
          <t>CONCENTRATION ALERTS</t>
        </is>
      </c>
      <c r="C19" s="29" t="n"/>
      <c r="D19" s="29" t="n"/>
      <c r="E19" s="29" t="n"/>
      <c r="F19" s="29" t="n"/>
      <c r="G19" s="30" t="n"/>
    </row>
    <row r="20" ht="20" customHeight="1">
      <c r="B20" s="3" t="inlineStr">
        <is>
          <t>Alert Name</t>
        </is>
      </c>
      <c r="C20" s="3" t="inlineStr">
        <is>
          <t>Metric</t>
        </is>
      </c>
      <c r="D20" s="3" t="inlineStr">
        <is>
          <t>Direction</t>
        </is>
      </c>
      <c r="E20" s="3" t="inlineStr">
        <is>
          <t>Threshold (Enter)</t>
        </is>
      </c>
      <c r="F20" s="3" t="inlineStr">
        <is>
          <t>Current Value</t>
        </is>
      </c>
      <c r="G20" s="3" t="inlineStr">
        <is>
          <t>Status</t>
        </is>
      </c>
    </row>
    <row r="21" ht="20" customHeight="1">
      <c r="B21" s="51" t="inlineStr">
        <is>
          <t>Single issuer max exposure (₹ Cr)</t>
        </is>
      </c>
      <c r="C21" s="51" t="inlineStr">
        <is>
          <t>Issuer Face Value</t>
        </is>
      </c>
      <c r="D21" s="51" t="inlineStr">
        <is>
          <t>Above</t>
        </is>
      </c>
      <c r="E21" s="57" t="n">
        <v>50</v>
      </c>
      <c r="F21" s="46" t="inlineStr"/>
      <c r="G21" s="54">
        <f>IF(E21="","",IF(D21="Above",IF(F21&gt;E21,"⚠ BREACH","✅ OK"),IF(F21&lt;E21,"⚠ BREACH","✅ OK")))</f>
        <v/>
      </c>
    </row>
    <row r="22" ht="20" customHeight="1">
      <c r="B22" s="51" t="inlineStr">
        <is>
          <t>Single instrument max (₹ Cr)</t>
        </is>
      </c>
      <c r="C22" s="51" t="inlineStr">
        <is>
          <t>Face Value</t>
        </is>
      </c>
      <c r="D22" s="51" t="inlineStr">
        <is>
          <t>Above</t>
        </is>
      </c>
      <c r="E22" s="57" t="n">
        <v>100</v>
      </c>
      <c r="F22" s="46" t="inlineStr"/>
      <c r="G22" s="54">
        <f>IF(E22="","",IF(D22="Above",IF(F22&gt;E22,"⚠ BREACH","✅ OK"),IF(F22&lt;E22,"⚠ BREACH","✅ OK")))</f>
        <v/>
      </c>
    </row>
    <row r="24" ht="20" customHeight="1">
      <c r="B24" s="27" t="inlineStr">
        <is>
          <t>⚠ BREACH = Threshold crossed — review needed  |  ✅ OK = Within thresholds</t>
        </is>
      </c>
    </row>
  </sheetData>
  <mergeCells count="7">
    <mergeCell ref="B24:G24"/>
    <mergeCell ref="B2:G2"/>
    <mergeCell ref="B19:G19"/>
    <mergeCell ref="B14:G14"/>
    <mergeCell ref="B9:G9"/>
    <mergeCell ref="B1:G1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2026-03-25T09:07:46+00:00Z</dcterms:created>
  <dcterms:modified xmlns:dcterms="http://purl.org/dc/terms/" xmlns:xsi="http://www.w3.org/2001/XMLSchema-instance" xsi:type="dcterms:W3CDTF">2026-03-25T09:07:47+00:00Z</dcterms:modified>
</cp:coreProperties>
</file>